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<sst xmlns="http://schemas.openxmlformats.org/spreadsheetml/2006/main" count="441" uniqueCount="441">
  <si>
    <t>#</t>
  </si>
  <si>
    <t>Task Name</t>
  </si>
  <si>
    <t>What Happens</t>
  </si>
  <si>
    <t>Output</t>
  </si>
  <si>
    <t>Hours</t>
  </si>
  <si>
    <t>Stage</t>
  </si>
  <si>
    <t>Phase</t>
  </si>
  <si>
    <t>Stakeholder &amp; Planning Setup</t>
  </si>
  <si>
    <t>Identify stakeholders, define session plan, confirm scope areas</t>
  </si>
  <si>
    <t>Stakeholder map + plan</t>
  </si>
  <si>
    <t>Requirements gathering/Process Mapping/Solution Output</t>
  </si>
  <si>
    <t xml:space="preserve">Phase 1 </t>
  </si>
  <si>
    <t>Application &amp; Lifecycle Workshop</t>
  </si>
  <si>
    <t>Full-day session covering application flow end-to-end (entry → submission → review → decision) including edge cases</t>
  </si>
  <si>
    <t>Core lifecycle definition</t>
  </si>
  <si>
    <t>Assessment &amp; Decision Workshop</t>
  </si>
  <si>
    <t>Scoring models, assessor roles, moderation, approvals, exceptions</t>
  </si>
  <si>
    <t>Assessment model</t>
  </si>
  <si>
    <t>Committee Variation Workshop</t>
  </si>
  <si>
    <t>How different committees operate, key differences and constraints</t>
  </si>
  <si>
    <t>Variation matrix</t>
  </si>
  <si>
    <t>Funding &amp; Scholarship Workshop</t>
  </si>
  <si>
    <t>Funding models, allocation, adjustments, lifecycle</t>
  </si>
  <si>
    <t>Funding structure defined</t>
  </si>
  <si>
    <t>Data &amp; Edge Case Workshop</t>
  </si>
  <si>
    <t>Required data, dependencies, unusual scenarios, failures</t>
  </si>
  <si>
    <t>Data requirements + edge cases</t>
  </si>
  <si>
    <t>Integration &amp; Reporting Workshop</t>
  </si>
  <si>
    <t>External systems, data flow, reporting needs (decision-led)</t>
  </si>
  <si>
    <t>Integration + reporting definition</t>
  </si>
  <si>
    <t>Engagement &amp; Non-Application Workshop</t>
  </si>
  <si>
    <t>Events, outreach, additional interactions</t>
  </si>
  <si>
    <t>Engagement flows</t>
  </si>
  <si>
    <t>Follow-up / Gap Session</t>
  </si>
  <si>
    <t>Revisit unclear areas, challenge assumptions, close gaps</t>
  </si>
  <si>
    <t>Gap log resolved</t>
  </si>
  <si>
    <t>Process Mapping (Core)</t>
  </si>
  <si>
    <t>Convert workshops into structured process maps (applications, assessment, funding)</t>
  </si>
  <si>
    <t>Process maps v1</t>
  </si>
  <si>
    <t>Variation &amp; Edge Case Mapping</t>
  </si>
  <si>
    <t>Overlay variations and edge cases into core flows</t>
  </si>
  <si>
    <t>Unified process model</t>
  </si>
  <si>
    <t>Validation Session</t>
  </si>
  <si>
    <t>Walkthrough with stakeholders, confirm accuracy, capture feedback</t>
  </si>
  <si>
    <t>Feedback notes</t>
  </si>
  <si>
    <t>Process Refinement</t>
  </si>
  <si>
    <t>Apply feedback, finalise flows</t>
  </si>
  <si>
    <t>Final process maps</t>
  </si>
  <si>
    <t>System Translation</t>
  </si>
  <si>
    <t>Convert processes into system design (entities, lifecycle, roles)</t>
  </si>
  <si>
    <t>System design model</t>
  </si>
  <si>
    <t>Data Definition</t>
  </si>
  <si>
    <t>Define fields, ownership, validation rules</t>
  </si>
  <si>
    <t>Data model + field list</t>
  </si>
  <si>
    <t>Final Design Walkthrough</t>
  </si>
  <si>
    <t>End-to-end review of system design</t>
  </si>
  <si>
    <t>Final validation</t>
  </si>
  <si>
    <t>Design Lock</t>
  </si>
  <si>
    <t>Confirm sign-off and readiness for build</t>
  </si>
  <si>
    <t>Approved design</t>
  </si>
  <si>
    <t>Zoho Org Setup</t>
  </si>
  <si>
    <t>Create org, configure company settings, branding, timezone, currency</t>
  </si>
  <si>
    <t>Environment ready</t>
  </si>
  <si>
    <t>Implementation</t>
  </si>
  <si>
    <t>Phase 2</t>
  </si>
  <si>
    <t>Email &amp; Domain Setup</t>
  </si>
  <si>
    <t>Configure email routing, sender authentication, domain settings</t>
  </si>
  <si>
    <t>Email working</t>
  </si>
  <si>
    <t>App Enablement</t>
  </si>
  <si>
    <t>Enable CRM, Forms, Analytics, Flow and required services</t>
  </si>
  <si>
    <t>Apps active</t>
  </si>
  <si>
    <t>Global Settings Review</t>
  </si>
  <si>
    <t>Review and clean default system settings</t>
  </si>
  <si>
    <t>Clean system base</t>
  </si>
  <si>
    <t>Role Hierarchy Setup</t>
  </si>
  <si>
    <t>Build hierarchy for central, committees, assessors</t>
  </si>
  <si>
    <t>Role structure</t>
  </si>
  <si>
    <t>Profile Setup</t>
  </si>
  <si>
    <t>Configure module, field, action permissions</t>
  </si>
  <si>
    <t>Profiles ready</t>
  </si>
  <si>
    <t>Permission Rules</t>
  </si>
  <si>
    <t>Configure sharing rules and visibility</t>
  </si>
  <si>
    <t>Data access model</t>
  </si>
  <si>
    <t>Initial User Creation</t>
  </si>
  <si>
    <t>Create admin and key users</t>
  </si>
  <si>
    <t>Users active</t>
  </si>
  <si>
    <t>Module Creation – Individuals</t>
  </si>
  <si>
    <t>Create core individual record structure</t>
  </si>
  <si>
    <t>Module live</t>
  </si>
  <si>
    <t>Module Creation – Applications</t>
  </si>
  <si>
    <t>Create application structure</t>
  </si>
  <si>
    <t>Module Creation – Committees</t>
  </si>
  <si>
    <t>Create governance structure</t>
  </si>
  <si>
    <t>Module Creation – Assessments</t>
  </si>
  <si>
    <t>Create review structure</t>
  </si>
  <si>
    <t>Module Creation – Funding</t>
  </si>
  <si>
    <t>Create scholarship structure</t>
  </si>
  <si>
    <t>Module Creation – Engagement</t>
  </si>
  <si>
    <t>Create events/activity tracking</t>
  </si>
  <si>
    <t>Module Creation – Organisations</t>
  </si>
  <si>
    <t>Create partner/school structure</t>
  </si>
  <si>
    <t>Field Creation – Individuals (Core)</t>
  </si>
  <si>
    <t>Create demographic and contact fields</t>
  </si>
  <si>
    <t>Fields live</t>
  </si>
  <si>
    <t>Field Creation – Individuals (Extended)</t>
  </si>
  <si>
    <t>Add lifecycle, status and classification fields</t>
  </si>
  <si>
    <t>Field Creation – Applications (Core)</t>
  </si>
  <si>
    <t>Create application stage, type, source fields</t>
  </si>
  <si>
    <t>Field Creation – Applications (Decision)</t>
  </si>
  <si>
    <t>Create decision and outcome fields</t>
  </si>
  <si>
    <t>Field Creation – Assessments</t>
  </si>
  <si>
    <t>Create scoring and review fields</t>
  </si>
  <si>
    <t>Field Creation – Funding</t>
  </si>
  <si>
    <t>Create funding allocation and tracking fields</t>
  </si>
  <si>
    <t>Field Creation – Committees</t>
  </si>
  <si>
    <t>Create governance and membership fields</t>
  </si>
  <si>
    <t>Field Creation – Engagement</t>
  </si>
  <si>
    <t>Create event/activity fields</t>
  </si>
  <si>
    <t>Lookup Relationships</t>
  </si>
  <si>
    <t>Configure relationships between modules</t>
  </si>
  <si>
    <t>Linked data</t>
  </si>
  <si>
    <t>Related Lists Setup</t>
  </si>
  <si>
    <t>Configure related record visibility</t>
  </si>
  <si>
    <t>Navigation ready</t>
  </si>
  <si>
    <t>Layout Build – Individuals</t>
  </si>
  <si>
    <t>Build layouts and sections</t>
  </si>
  <si>
    <t>Layout ready</t>
  </si>
  <si>
    <t>Layout Build – Applications</t>
  </si>
  <si>
    <t>Layout Build – Assessments</t>
  </si>
  <si>
    <t>Layout Build – Funding</t>
  </si>
  <si>
    <t>Layout Build – Committees</t>
  </si>
  <si>
    <t>Validation Rules Setup</t>
  </si>
  <si>
    <t>Configure required fields and rules</t>
  </si>
  <si>
    <t>Validation active</t>
  </si>
  <si>
    <t>Duplicate Rules Setup</t>
  </si>
  <si>
    <t>Configure duplicate detection</t>
  </si>
  <si>
    <t>Clean data rules</t>
  </si>
  <si>
    <t>Lifecycle Stage Setup</t>
  </si>
  <si>
    <t>Configure statuses and transitions</t>
  </si>
  <si>
    <t>Lifecycle active</t>
  </si>
  <si>
    <t>Workflow – Application</t>
  </si>
  <si>
    <t>Build lifecycle automation</t>
  </si>
  <si>
    <t>Workflow active</t>
  </si>
  <si>
    <t>Workflow – Assessment</t>
  </si>
  <si>
    <t>Build review automation</t>
  </si>
  <si>
    <t>Workflow – Decision</t>
  </si>
  <si>
    <t>Build decision automation</t>
  </si>
  <si>
    <t>Workflow – Funding</t>
  </si>
  <si>
    <t>Build funding automation</t>
  </si>
  <si>
    <t>Assignment Rules</t>
  </si>
  <si>
    <t>Configure assignment logic</t>
  </si>
  <si>
    <t>Assignment active</t>
  </si>
  <si>
    <t>Automation Testing</t>
  </si>
  <si>
    <t>Test all workflows and automation</t>
  </si>
  <si>
    <t>Tested automation</t>
  </si>
  <si>
    <t>Form Build – Applications</t>
  </si>
  <si>
    <t>Create forms</t>
  </si>
  <si>
    <t>Forms ready</t>
  </si>
  <si>
    <t>Form Logic</t>
  </si>
  <si>
    <t>Configure conditional logic</t>
  </si>
  <si>
    <t>Smart forms</t>
  </si>
  <si>
    <t>Form Mapping</t>
  </si>
  <si>
    <t>Map form to CRM</t>
  </si>
  <si>
    <t>Data flow active</t>
  </si>
  <si>
    <t>External Submission Setup</t>
  </si>
  <si>
    <t>Configure external users</t>
  </si>
  <si>
    <t>External flow ready</t>
  </si>
  <si>
    <t>Document Handling Setup</t>
  </si>
  <si>
    <t>Configure uploads and storage</t>
  </si>
  <si>
    <t>Document system</t>
  </si>
  <si>
    <t>Email Template Creation</t>
  </si>
  <si>
    <t>Create templates</t>
  </si>
  <si>
    <t>Templates ready</t>
  </si>
  <si>
    <t>Notification Setup</t>
  </si>
  <si>
    <t>Configure alerts</t>
  </si>
  <si>
    <t>Notifications active</t>
  </si>
  <si>
    <t>Consent Setup</t>
  </si>
  <si>
    <t>Configure consent capture</t>
  </si>
  <si>
    <t>Consent active</t>
  </si>
  <si>
    <t>Security Review</t>
  </si>
  <si>
    <t>Validate permissions</t>
  </si>
  <si>
    <t>Security approved</t>
  </si>
  <si>
    <t>Reporting – Applications</t>
  </si>
  <si>
    <t>Build reports</t>
  </si>
  <si>
    <t>Reports ready</t>
  </si>
  <si>
    <t>Reporting – Assessments</t>
  </si>
  <si>
    <t>Reporting – Funding</t>
  </si>
  <si>
    <t>Dashboard Setup</t>
  </si>
  <si>
    <t>Build dashboards</t>
  </si>
  <si>
    <t>Dashboards ready</t>
  </si>
  <si>
    <t>Integration Design</t>
  </si>
  <si>
    <t>Finalise data flows</t>
  </si>
  <si>
    <t>Design ready</t>
  </si>
  <si>
    <t>Integration Build – Inbound</t>
  </si>
  <si>
    <t>Configure inbound integrations</t>
  </si>
  <si>
    <t>Integration live</t>
  </si>
  <si>
    <t>Integration Build – Outbound</t>
  </si>
  <si>
    <t>Configure outbound integrations</t>
  </si>
  <si>
    <t>Integration Error Handling</t>
  </si>
  <si>
    <t>Configure failures</t>
  </si>
  <si>
    <t>Error handling</t>
  </si>
  <si>
    <t>Integration Testing</t>
  </si>
  <si>
    <t>Test integrations</t>
  </si>
  <si>
    <t>Tested integrations</t>
  </si>
  <si>
    <t>QA Cycle – Phase 2</t>
  </si>
  <si>
    <t>Full QA</t>
  </si>
  <si>
    <t>QA log</t>
  </si>
  <si>
    <t>QA Fix Cycle – Phase 2</t>
  </si>
  <si>
    <t>Fix QA issues</t>
  </si>
  <si>
    <t>Stable build</t>
  </si>
  <si>
    <t>UAT Prep – Phase 2</t>
  </si>
  <si>
    <t>Prepare UAT</t>
  </si>
  <si>
    <t>Scripts ready</t>
  </si>
  <si>
    <t>UAT – Phase 2</t>
  </si>
  <si>
    <t>Execute UAT</t>
  </si>
  <si>
    <t>Feedback</t>
  </si>
  <si>
    <t>UAT Fix – Phase 2</t>
  </si>
  <si>
    <t>Apply fixes</t>
  </si>
  <si>
    <t>Updated system</t>
  </si>
  <si>
    <t>Sample Migration Prep</t>
  </si>
  <si>
    <t>Prepare sample data</t>
  </si>
  <si>
    <t>Ready data</t>
  </si>
  <si>
    <t>Phase 3</t>
  </si>
  <si>
    <t>Sample Migration</t>
  </si>
  <si>
    <t>Import data</t>
  </si>
  <si>
    <t>Data loaded</t>
  </si>
  <si>
    <t>Migration Review</t>
  </si>
  <si>
    <t>Validate data</t>
  </si>
  <si>
    <t>Findings</t>
  </si>
  <si>
    <t>Mapping Fix</t>
  </si>
  <si>
    <t>Fix mapping</t>
  </si>
  <si>
    <t>Updated mapping</t>
  </si>
  <si>
    <t>Pilot Setup</t>
  </si>
  <si>
    <t>Configure pilot</t>
  </si>
  <si>
    <t>Pilot ready</t>
  </si>
  <si>
    <t>Pilot Execution</t>
  </si>
  <si>
    <t>Support pilot</t>
  </si>
  <si>
    <t>Pilot active</t>
  </si>
  <si>
    <t>Pilot Review</t>
  </si>
  <si>
    <t>Collect feedback</t>
  </si>
  <si>
    <t>Feedback log</t>
  </si>
  <si>
    <t>Pilot Fix</t>
  </si>
  <si>
    <t>QA – Phase 3</t>
  </si>
  <si>
    <t>QA cycle</t>
  </si>
  <si>
    <t>QA results</t>
  </si>
  <si>
    <t>QA Fix – Phase 3</t>
  </si>
  <si>
    <t>Fix QA</t>
  </si>
  <si>
    <t>Stable system</t>
  </si>
  <si>
    <t>UAT – Phase 3</t>
  </si>
  <si>
    <t>Validate pilot</t>
  </si>
  <si>
    <t>UAT confirmation</t>
  </si>
  <si>
    <t>UAT Fix – Phase 3</t>
  </si>
  <si>
    <t>Full Migration Prep</t>
  </si>
  <si>
    <t>Prepare final data</t>
  </si>
  <si>
    <t>Phase 4</t>
  </si>
  <si>
    <t>Full Migration</t>
  </si>
  <si>
    <t>Import full dataset</t>
  </si>
  <si>
    <t>Data live</t>
  </si>
  <si>
    <t>Data Validation</t>
  </si>
  <si>
    <t>Clean data</t>
  </si>
  <si>
    <t>Rollout Setup</t>
  </si>
  <si>
    <t>Prepare rollout</t>
  </si>
  <si>
    <t>Ready rollout</t>
  </si>
  <si>
    <t>Rollout Execution</t>
  </si>
  <si>
    <t>Deploy system</t>
  </si>
  <si>
    <t>System live</t>
  </si>
  <si>
    <t>Rollout Support</t>
  </si>
  <si>
    <t>Support users</t>
  </si>
  <si>
    <t>Stable usage</t>
  </si>
  <si>
    <t>QA – Phase 4</t>
  </si>
  <si>
    <t>QA Fix – Phase 4</t>
  </si>
  <si>
    <t>UAT – Phase 4</t>
  </si>
  <si>
    <t>Validate system</t>
  </si>
  <si>
    <t>UAT sign-off</t>
  </si>
  <si>
    <t>UAT Fix – Phase 4</t>
  </si>
  <si>
    <t>Final system</t>
  </si>
  <si>
    <t>Go-Live Prep</t>
  </si>
  <si>
    <t>Final checks</t>
  </si>
  <si>
    <t>Ready for launch</t>
  </si>
  <si>
    <t>Phase 5</t>
  </si>
  <si>
    <t>Go-Live</t>
  </si>
  <si>
    <t>Live system</t>
  </si>
  <si>
    <t>Hypercare</t>
  </si>
  <si>
    <t>Support post go-live</t>
  </si>
  <si>
    <t>Training Prep</t>
  </si>
  <si>
    <t>Prepare materials</t>
  </si>
  <si>
    <t>Training ready</t>
  </si>
  <si>
    <t>Training Delivery</t>
  </si>
  <si>
    <t>Deliver sessions</t>
  </si>
  <si>
    <t>Users trained</t>
  </si>
  <si>
    <t>Project Management</t>
  </si>
  <si>
    <t>Ongoing coordination</t>
  </si>
  <si>
    <t>Managed project</t>
  </si>
  <si>
    <t>All Phases</t>
  </si>
  <si>
    <t>Training Plan</t>
  </si>
  <si>
    <t>Define who needs training (admins, committees, assessors), what they need, and when (aligned to pilot and rollout)</t>
  </si>
  <si>
    <t>Training plan</t>
  </si>
  <si>
    <t>Training</t>
  </si>
  <si>
    <t>Session Structure Design</t>
  </si>
  <si>
    <t>Define session breakdown (Applications, Assessment, Funding, Reporting, Admin)</t>
  </si>
  <si>
    <t>Session structure</t>
  </si>
  <si>
    <t>Training Data Setup</t>
  </si>
  <si>
    <t>Prepare example records and scenarios for use in live sessions</t>
  </si>
  <si>
    <t>Training data ready</t>
  </si>
  <si>
    <t>Admin Training Delivery</t>
  </si>
  <si>
    <t>Deliver live online session covering full system setup, management and control</t>
  </si>
  <si>
    <t>Admins trained</t>
  </si>
  <si>
    <t>Committee Training Delivery</t>
  </si>
  <si>
    <t>Deliver sessions for application handling, decision making and day-to-day use</t>
  </si>
  <si>
    <t>Committees trained</t>
  </si>
  <si>
    <t>Assessor Training Delivery</t>
  </si>
  <si>
    <t>Deliver sessions for scoring, reviewing and submitting feedback</t>
  </si>
  <si>
    <t>Assessors trained</t>
  </si>
  <si>
    <t>Training Recordings</t>
  </si>
  <si>
    <t>Record sessions and provide access for reuse</t>
  </si>
  <si>
    <t>Recordings available</t>
  </si>
  <si>
    <t>Pilot Support Sessions</t>
  </si>
  <si>
    <t>Run follow-up sessions during pilot to support users and answer questions</t>
  </si>
  <si>
    <t>Users supported</t>
  </si>
  <si>
    <t>Rollout Training Delivery</t>
  </si>
  <si>
    <t>Deliver additional sessions for wider rollout users</t>
  </si>
  <si>
    <t>Wider users trained</t>
  </si>
  <si>
    <t>Additional Support Sessions</t>
  </si>
  <si>
    <t>Provide drop-in or follow-up sessions post rollout</t>
  </si>
  <si>
    <t>Questions resolved</t>
  </si>
  <si>
    <t>Admin Deep Dive (Optional)</t>
  </si>
  <si>
    <t>Additional focused session for admins post go-live if needed</t>
  </si>
  <si>
    <t>Advanced admin support</t>
  </si>
  <si>
    <t>Training Coordination</t>
  </si>
  <si>
    <t>Schedule sessions, manage attendees, organise recordings</t>
  </si>
  <si>
    <t>Training managed</t>
  </si>
  <si>
    <t>What Actually Needs To Be Done</t>
  </si>
  <si>
    <t>Portal Architecture Definition</t>
  </si>
  <si>
    <t>Define full portal structure, user journeys (Applicant, Assessor, Committee), navigation and page hierarchy</t>
  </si>
  <si>
    <t>Portal architecture</t>
  </si>
  <si>
    <t>UX Wireframing</t>
  </si>
  <si>
    <t>Create wireframes for all key pages (application, dashboards, review, decision screens)</t>
  </si>
  <si>
    <t>Wireframes</t>
  </si>
  <si>
    <t>UI Design Alignment</t>
  </si>
  <si>
    <t>Apply branding, styling, responsive layout considerations</t>
  </si>
  <si>
    <t>UI design ready</t>
  </si>
  <si>
    <t>Front-End Environment Setup</t>
  </si>
  <si>
    <t>Set up web framework, environments, repo, deployment pipeline</t>
  </si>
  <si>
    <t>Dev environment ready</t>
  </si>
  <si>
    <t>Authentication System Build</t>
  </si>
  <si>
    <t>Build login, password reset, session handling, security flows</t>
  </si>
  <si>
    <t>Secure authentication</t>
  </si>
  <si>
    <t>User Role Framework (Frontend)</t>
  </si>
  <si>
    <t>Build logic to differentiate Applicant, Assessor, Committee user experiences</t>
  </si>
  <si>
    <t>Role-based UI</t>
  </si>
  <si>
    <t>Portal Navigation Build</t>
  </si>
  <si>
    <t>Create menus, routing, page transitions and navigation structure</t>
  </si>
  <si>
    <t>Navigation working</t>
  </si>
  <si>
    <t>Applicant Application Form UI</t>
  </si>
  <si>
    <t>Build multi-step application interface with validation and UX flow</t>
  </si>
  <si>
    <t>Application UI</t>
  </si>
  <si>
    <t>Save &amp; Resume Functionality</t>
  </si>
  <si>
    <t>Enable saving progress and returning to incomplete applications</t>
  </si>
  <si>
    <t>Save/resume working</t>
  </si>
  <si>
    <t>Application Submission Logic</t>
  </si>
  <si>
    <t>Validate and submit applications to backend</t>
  </si>
  <si>
    <t>Submission working</t>
  </si>
  <si>
    <t>Applicant Dashboard Build</t>
  </si>
  <si>
    <t>Display application status, updates, required actions</t>
  </si>
  <si>
    <t>Dashboard live</t>
  </si>
  <si>
    <t>Applicant Document Upload UI</t>
  </si>
  <si>
    <t>Build document upload and management interface</t>
  </si>
  <si>
    <t>Document upload working</t>
  </si>
  <si>
    <t>Assessor Dashboard Build</t>
  </si>
  <si>
    <t>Display assigned applications and status</t>
  </si>
  <si>
    <t>Assessor Review Interface</t>
  </si>
  <si>
    <t>Build scoring, commenting and review screens</t>
  </si>
  <si>
    <t>Review UI</t>
  </si>
  <si>
    <t>Assessor Save/Submit Logic</t>
  </si>
  <si>
    <t>Handle partial saves and final submission of reviews</t>
  </si>
  <si>
    <t>Review submission working</t>
  </si>
  <si>
    <t>Committee Dashboard Build</t>
  </si>
  <si>
    <t>Build overview of applications, metrics and statuses</t>
  </si>
  <si>
    <t>Committee Decision Interface</t>
  </si>
  <si>
    <t>Build approve/reject logic and override capability</t>
  </si>
  <si>
    <t>Decision UI</t>
  </si>
  <si>
    <t>API Layer Setup</t>
  </si>
  <si>
    <t>Build API endpoints to connect portal to Zoho CRM</t>
  </si>
  <si>
    <t>API layer live</t>
  </si>
  <si>
    <t>Data Sync – Create/Update</t>
  </si>
  <si>
    <t>Handle creation and updates of records in CRM from portal</t>
  </si>
  <si>
    <t>Data sync working</t>
  </si>
  <si>
    <t>Data Sync – Read</t>
  </si>
  <si>
    <t>Pull CRM data into portal views (applications, status, assignments)</t>
  </si>
  <si>
    <t>Data display working</t>
  </si>
  <si>
    <t>Error Handling Logic</t>
  </si>
  <si>
    <t>Manage failed submissions, retries and validation errors</t>
  </si>
  <si>
    <t>Stable handling</t>
  </si>
  <si>
    <t>Security Hardening</t>
  </si>
  <si>
    <t>Implement access control, session validation, input sanitisation</t>
  </si>
  <si>
    <t>Secure portal</t>
  </si>
  <si>
    <t>Portal QA – Internal</t>
  </si>
  <si>
    <t>Test all user journeys across all roles</t>
  </si>
  <si>
    <t>QA Fix Cycle</t>
  </si>
  <si>
    <t>Resolve bugs identified during QA</t>
  </si>
  <si>
    <t>Stable portal</t>
  </si>
  <si>
    <t>UAT Scenario Preparation</t>
  </si>
  <si>
    <t>Prepare real-world scenarios for user testing</t>
  </si>
  <si>
    <t>UAT scripts</t>
  </si>
  <si>
    <t>UAT Cycle (Pilot Users)</t>
  </si>
  <si>
    <t>Users test portal functionality end-to-end</t>
  </si>
  <si>
    <t>UAT feedback</t>
  </si>
  <si>
    <t>UAT Fix Cycle</t>
  </si>
  <si>
    <t>Apply changes based on UAT feedback</t>
  </si>
  <si>
    <t>Updated portal</t>
  </si>
  <si>
    <t>Pilot Portal Configuration</t>
  </si>
  <si>
    <t>Configure portal users, permissions and data for pilot</t>
  </si>
  <si>
    <t>Pilot Support</t>
  </si>
  <si>
    <t>Support users during pilot usage</t>
  </si>
  <si>
    <t>Stable pilot</t>
  </si>
  <si>
    <t>Pilot Feedback Review</t>
  </si>
  <si>
    <t>Review usage, identify issues and improvements</t>
  </si>
  <si>
    <t>Pilot Fix Cycle</t>
  </si>
  <si>
    <t>Apply pilot improvements</t>
  </si>
  <si>
    <t>QA – Post Pilot</t>
  </si>
  <si>
    <t>Re-test portal after pilot changes</t>
  </si>
  <si>
    <t>QA validation</t>
  </si>
  <si>
    <t>UAT – Post Pilot</t>
  </si>
  <si>
    <t>Confirm readiness for rollout</t>
  </si>
  <si>
    <t>Rollout Portal Configuration</t>
  </si>
  <si>
    <t>Configure portal for wider user base</t>
  </si>
  <si>
    <t>Rollout ready</t>
  </si>
  <si>
    <t>Deploy portal to all users</t>
  </si>
  <si>
    <t>Portal live</t>
  </si>
  <si>
    <t>Support users accessing portal during rollout</t>
  </si>
  <si>
    <t>QA – Post Rollout</t>
  </si>
  <si>
    <t>Final QA across full user base</t>
  </si>
  <si>
    <t>QA sign-off</t>
  </si>
  <si>
    <t>UAT – Full Network</t>
  </si>
  <si>
    <t>Validate portal across all user groups</t>
  </si>
  <si>
    <t>Final Fix Cycle</t>
  </si>
  <si>
    <t>Resolve final issues before go-live</t>
  </si>
  <si>
    <t>Go-Live Deployment</t>
  </si>
  <si>
    <t>Final release of portal to production</t>
  </si>
  <si>
    <t>Hypercare Support</t>
  </si>
  <si>
    <t>Post go-live support and issue handling</t>
  </si>
</sst>
</file>

<file path=xl/styles.xml><?xml version="1.0" encoding="utf-8"?>
<styleSheet xmlns="http://schemas.openxmlformats.org/spreadsheetml/2006/main">
  <fonts count="5">
    <font>
      <sz val="10"/>
      <color rgb="FF000000"/>
      <name val="Roboto"/>
    </font>
    <font>
      <sz val="10"/>
      <name val="Roboto"/>
    </font>
    <font>
      <b/>
      <sz val="10"/>
      <name val="Roboto"/>
    </font>
    <font>
      <b/>
      <sz val="10"/>
      <name val="Roboto"/>
    </font>
    <font>
      <sz val="1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7">
    <xf borderId="0" fillId="0" fontId="0" numFmtId="0" xfId="0">
      <alignment vertical="top"/>
    </xf>
    <xf borderId="0" fillId="0" fontId="1" numFmtId="0" xfId="0">
      <alignment vertical="top" wrapText="1"/>
    </xf>
    <xf borderId="0" fillId="0" fontId="2" numFmtId="0" xfId="0">
      <alignment vertical="top"/>
    </xf>
    <xf borderId="0" fillId="0" fontId="2" numFmtId="0" xfId="0">
      <alignment vertical="top" wrapText="1"/>
    </xf>
    <xf borderId="0" fillId="0" fontId="1" numFmtId="0" xfId="0">
      <alignment vertical="top"/>
    </xf>
    <xf borderId="0" fillId="0" fontId="3" numFmtId="0" xfId="0">
      <alignment vertical="top"/>
    </xf>
    <xf borderId="0" fillId="0" fontId="4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G166"/>
  <sheetViews>
    <sheetView workbookViewId="0"/>
  </sheetViews>
  <sheetFormatPr defaultRowHeight="14.0" customHeight="1"/>
  <cols>
    <col min="1" max="1" width="35.11"/>
    <col min="2" max="4" style="1" width="35.11"/>
    <col min="5" max="7" width="35.11"/>
    <col min="8" max="2048" width="29.14"/>
  </cols>
  <sheetData>
    <row r="1" customHeight="1" ht="14.0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4" t="s">
        <v>6</v>
      </c>
    </row>
    <row r="2" ht="27.0">
      <c r="A2" s="4">
        <v>1.0</v>
      </c>
      <c r="B2" s="1" t="s">
        <v>7</v>
      </c>
      <c r="C2" s="1" t="s">
        <v>8</v>
      </c>
      <c r="D2" s="1" t="s">
        <v>9</v>
      </c>
      <c r="E2" s="4">
        <v>4.0</v>
      </c>
      <c r="F2" s="4" t="s">
        <v>10</v>
      </c>
      <c r="G2" s="4" t="s">
        <v>11</v>
      </c>
    </row>
    <row r="3" ht="41.0">
      <c r="A3" s="4">
        <v>2.0</v>
      </c>
      <c r="B3" s="1" t="s">
        <v>12</v>
      </c>
      <c r="C3" s="1" t="s">
        <v>13</v>
      </c>
      <c r="D3" s="1" t="s">
        <v>14</v>
      </c>
      <c r="E3" s="4">
        <v>7.0</v>
      </c>
      <c r="F3" s="4" t="s">
        <v>10</v>
      </c>
      <c r="G3" s="4" t="s">
        <v>11</v>
      </c>
    </row>
    <row r="4" ht="27.0">
      <c r="A4" s="4">
        <v>3.0</v>
      </c>
      <c r="B4" s="1" t="s">
        <v>15</v>
      </c>
      <c r="C4" s="1" t="s">
        <v>16</v>
      </c>
      <c r="D4" s="1" t="s">
        <v>17</v>
      </c>
      <c r="E4" s="4">
        <v>7.0</v>
      </c>
      <c r="F4" s="4" t="s">
        <v>10</v>
      </c>
      <c r="G4" s="4" t="s">
        <v>11</v>
      </c>
    </row>
    <row r="5" ht="27.0">
      <c r="A5" s="4">
        <v>4.0</v>
      </c>
      <c r="B5" s="1" t="s">
        <v>18</v>
      </c>
      <c r="C5" s="1" t="s">
        <v>19</v>
      </c>
      <c r="D5" s="1" t="s">
        <v>20</v>
      </c>
      <c r="E5" s="4">
        <v>7.0</v>
      </c>
      <c r="F5" s="4" t="s">
        <v>10</v>
      </c>
      <c r="G5" s="4" t="s">
        <v>11</v>
      </c>
    </row>
    <row r="6" ht="27.0">
      <c r="A6" s="4">
        <v>5.0</v>
      </c>
      <c r="B6" s="1" t="s">
        <v>21</v>
      </c>
      <c r="C6" s="1" t="s">
        <v>22</v>
      </c>
      <c r="D6" s="1" t="s">
        <v>23</v>
      </c>
      <c r="E6" s="4">
        <v>7.0</v>
      </c>
      <c r="F6" s="4" t="s">
        <v>10</v>
      </c>
      <c r="G6" s="4" t="s">
        <v>11</v>
      </c>
    </row>
    <row r="7" ht="27.0">
      <c r="A7" s="4">
        <v>6.0</v>
      </c>
      <c r="B7" s="1" t="s">
        <v>24</v>
      </c>
      <c r="C7" s="1" t="s">
        <v>25</v>
      </c>
      <c r="D7" s="1" t="s">
        <v>26</v>
      </c>
      <c r="E7" s="4">
        <v>7.0</v>
      </c>
      <c r="F7" s="4" t="s">
        <v>10</v>
      </c>
      <c r="G7" s="4" t="s">
        <v>11</v>
      </c>
    </row>
    <row r="8" ht="27.0">
      <c r="A8" s="4">
        <v>7.0</v>
      </c>
      <c r="B8" s="1" t="s">
        <v>27</v>
      </c>
      <c r="C8" s="1" t="s">
        <v>28</v>
      </c>
      <c r="D8" s="1" t="s">
        <v>29</v>
      </c>
      <c r="E8" s="4">
        <v>7.0</v>
      </c>
      <c r="F8" s="4" t="s">
        <v>10</v>
      </c>
      <c r="G8" s="4" t="s">
        <v>11</v>
      </c>
    </row>
    <row r="9">
      <c r="A9" s="4">
        <v>8.0</v>
      </c>
      <c r="B9" s="1" t="s">
        <v>30</v>
      </c>
      <c r="C9" s="1" t="s">
        <v>31</v>
      </c>
      <c r="D9" s="1" t="s">
        <v>32</v>
      </c>
      <c r="E9" s="4">
        <v>5.0</v>
      </c>
      <c r="F9" s="4" t="s">
        <v>10</v>
      </c>
      <c r="G9" s="4" t="s">
        <v>11</v>
      </c>
    </row>
    <row r="10" ht="27.0">
      <c r="A10" s="4">
        <v>9.0</v>
      </c>
      <c r="B10" s="1" t="s">
        <v>33</v>
      </c>
      <c r="C10" s="1" t="s">
        <v>34</v>
      </c>
      <c r="D10" s="1" t="s">
        <v>35</v>
      </c>
      <c r="E10" s="4">
        <v>5.0</v>
      </c>
      <c r="F10" s="4" t="s">
        <v>10</v>
      </c>
      <c r="G10" s="4" t="s">
        <v>11</v>
      </c>
    </row>
    <row r="11" ht="41.0">
      <c r="A11" s="4">
        <v>10.0</v>
      </c>
      <c r="B11" s="1" t="s">
        <v>36</v>
      </c>
      <c r="C11" s="1" t="s">
        <v>37</v>
      </c>
      <c r="D11" s="1" t="s">
        <v>38</v>
      </c>
      <c r="E11" s="4">
        <v>10.0</v>
      </c>
      <c r="F11" s="4" t="s">
        <v>10</v>
      </c>
      <c r="G11" s="4" t="s">
        <v>11</v>
      </c>
    </row>
    <row r="12" ht="27.0">
      <c r="A12" s="4">
        <v>11.0</v>
      </c>
      <c r="B12" s="1" t="s">
        <v>39</v>
      </c>
      <c r="C12" s="1" t="s">
        <v>40</v>
      </c>
      <c r="D12" s="1" t="s">
        <v>41</v>
      </c>
      <c r="E12" s="4">
        <v>6.0</v>
      </c>
      <c r="F12" s="4" t="s">
        <v>10</v>
      </c>
      <c r="G12" s="4" t="s">
        <v>11</v>
      </c>
    </row>
    <row r="13" ht="27.0">
      <c r="A13" s="4">
        <v>12.0</v>
      </c>
      <c r="B13" s="1" t="s">
        <v>42</v>
      </c>
      <c r="C13" s="1" t="s">
        <v>43</v>
      </c>
      <c r="D13" s="1" t="s">
        <v>44</v>
      </c>
      <c r="E13" s="4">
        <v>4.0</v>
      </c>
      <c r="F13" s="4" t="s">
        <v>10</v>
      </c>
      <c r="G13" s="4" t="s">
        <v>11</v>
      </c>
    </row>
    <row r="14" customHeight="1" ht="14.0">
      <c r="A14" s="4">
        <v>13.0</v>
      </c>
      <c r="B14" s="1" t="s">
        <v>45</v>
      </c>
      <c r="C14" s="1" t="s">
        <v>46</v>
      </c>
      <c r="D14" s="1" t="s">
        <v>47</v>
      </c>
      <c r="E14" s="4">
        <v>6.0</v>
      </c>
      <c r="F14" s="4" t="s">
        <v>10</v>
      </c>
      <c r="G14" s="4" t="s">
        <v>11</v>
      </c>
    </row>
    <row r="15" ht="27.0">
      <c r="A15" s="4">
        <v>14.0</v>
      </c>
      <c r="B15" s="1" t="s">
        <v>48</v>
      </c>
      <c r="C15" s="1" t="s">
        <v>49</v>
      </c>
      <c r="D15" s="1" t="s">
        <v>50</v>
      </c>
      <c r="E15" s="4">
        <v>8.0</v>
      </c>
      <c r="F15" s="4" t="s">
        <v>10</v>
      </c>
      <c r="G15" s="4" t="s">
        <v>11</v>
      </c>
    </row>
    <row r="16" ht="27.0">
      <c r="A16" s="4">
        <v>15.0</v>
      </c>
      <c r="B16" s="1" t="s">
        <v>51</v>
      </c>
      <c r="C16" s="1" t="s">
        <v>52</v>
      </c>
      <c r="D16" s="1" t="s">
        <v>53</v>
      </c>
      <c r="E16" s="4">
        <v>8.0</v>
      </c>
      <c r="F16" s="4" t="s">
        <v>10</v>
      </c>
      <c r="G16" s="4" t="s">
        <v>11</v>
      </c>
    </row>
    <row r="17" customHeight="1" ht="14.0">
      <c r="A17" s="4">
        <v>16.0</v>
      </c>
      <c r="B17" s="1" t="s">
        <v>54</v>
      </c>
      <c r="C17" s="1" t="s">
        <v>55</v>
      </c>
      <c r="D17" s="1" t="s">
        <v>56</v>
      </c>
      <c r="E17" s="4">
        <v>4.0</v>
      </c>
      <c r="F17" s="4" t="s">
        <v>10</v>
      </c>
      <c r="G17" s="4" t="s">
        <v>11</v>
      </c>
    </row>
    <row r="18" ht="27.0">
      <c r="A18" s="4">
        <v>17.0</v>
      </c>
      <c r="B18" s="1" t="s">
        <v>57</v>
      </c>
      <c r="C18" s="1" t="s">
        <v>58</v>
      </c>
      <c r="D18" s="1" t="s">
        <v>59</v>
      </c>
      <c r="E18" s="4">
        <v>2.0</v>
      </c>
      <c r="F18" s="4" t="s">
        <v>10</v>
      </c>
      <c r="G18" s="4" t="s">
        <v>11</v>
      </c>
    </row>
    <row r="19" customHeight="1" ht="14.0">
      <c r="A19" s="4">
        <f t="shared" ref="A19:A108" si="0">A18+1</f>
        <v>18.0</v>
      </c>
      <c r="B19" s="4" t="s">
        <v>60</v>
      </c>
      <c r="C19" s="4" t="s">
        <v>61</v>
      </c>
      <c r="D19" s="4" t="s">
        <v>62</v>
      </c>
      <c r="E19" s="4">
        <v>4.0</v>
      </c>
      <c r="F19" s="4" t="s">
        <v>63</v>
      </c>
      <c r="G19" s="4" t="s">
        <v>64</v>
      </c>
    </row>
    <row r="20" customHeight="1" ht="14.0">
      <c r="A20" s="4">
        <f t="shared" si="0"/>
        <v>19.0</v>
      </c>
      <c r="B20" s="4" t="s">
        <v>65</v>
      </c>
      <c r="C20" s="4" t="s">
        <v>66</v>
      </c>
      <c r="D20" s="4" t="s">
        <v>67</v>
      </c>
      <c r="E20" s="4">
        <v>3.0</v>
      </c>
      <c r="F20" s="4" t="s">
        <v>63</v>
      </c>
      <c r="G20" s="4" t="s">
        <v>64</v>
      </c>
    </row>
    <row r="21" customHeight="1" ht="14.0">
      <c r="A21" s="4">
        <f t="shared" si="0"/>
        <v>20.0</v>
      </c>
      <c r="B21" s="4" t="s">
        <v>68</v>
      </c>
      <c r="C21" s="4" t="s">
        <v>69</v>
      </c>
      <c r="D21" s="4" t="s">
        <v>70</v>
      </c>
      <c r="E21" s="4">
        <v>3.0</v>
      </c>
      <c r="F21" s="4" t="s">
        <v>63</v>
      </c>
      <c r="G21" s="4" t="s">
        <v>64</v>
      </c>
    </row>
    <row r="22" customHeight="1" ht="14.0">
      <c r="A22" s="4">
        <f t="shared" si="0"/>
        <v>21.0</v>
      </c>
      <c r="B22" s="4" t="s">
        <v>71</v>
      </c>
      <c r="C22" s="4" t="s">
        <v>72</v>
      </c>
      <c r="D22" s="4" t="s">
        <v>73</v>
      </c>
      <c r="E22" s="4">
        <v>2.0</v>
      </c>
      <c r="F22" s="4" t="s">
        <v>63</v>
      </c>
      <c r="G22" s="4" t="s">
        <v>64</v>
      </c>
    </row>
    <row r="23" customHeight="1" ht="14.0">
      <c r="A23" s="4">
        <f t="shared" si="0"/>
        <v>22.0</v>
      </c>
      <c r="B23" s="4" t="s">
        <v>74</v>
      </c>
      <c r="C23" s="4" t="s">
        <v>75</v>
      </c>
      <c r="D23" s="4" t="s">
        <v>76</v>
      </c>
      <c r="E23" s="4">
        <v>6.0</v>
      </c>
      <c r="F23" s="4" t="s">
        <v>63</v>
      </c>
      <c r="G23" s="4" t="s">
        <v>64</v>
      </c>
    </row>
    <row r="24" customHeight="1" ht="14.0">
      <c r="A24" s="4">
        <f t="shared" si="0"/>
        <v>23.0</v>
      </c>
      <c r="B24" s="4" t="s">
        <v>77</v>
      </c>
      <c r="C24" s="4" t="s">
        <v>78</v>
      </c>
      <c r="D24" s="4" t="s">
        <v>79</v>
      </c>
      <c r="E24" s="4">
        <v>6.0</v>
      </c>
      <c r="F24" s="4" t="s">
        <v>63</v>
      </c>
      <c r="G24" s="4" t="s">
        <v>64</v>
      </c>
    </row>
    <row r="25" customHeight="1" ht="14.0">
      <c r="A25" s="4">
        <f t="shared" si="0"/>
        <v>24.0</v>
      </c>
      <c r="B25" s="4" t="s">
        <v>80</v>
      </c>
      <c r="C25" s="4" t="s">
        <v>81</v>
      </c>
      <c r="D25" s="4" t="s">
        <v>82</v>
      </c>
      <c r="E25" s="4">
        <v>8.0</v>
      </c>
      <c r="F25" s="4" t="s">
        <v>63</v>
      </c>
      <c r="G25" s="4" t="s">
        <v>64</v>
      </c>
    </row>
    <row r="26" customHeight="1" ht="14.0">
      <c r="A26" s="4">
        <f t="shared" si="0"/>
        <v>25.0</v>
      </c>
      <c r="B26" s="4" t="s">
        <v>83</v>
      </c>
      <c r="C26" s="4" t="s">
        <v>84</v>
      </c>
      <c r="D26" s="4" t="s">
        <v>85</v>
      </c>
      <c r="E26" s="4">
        <v>4.0</v>
      </c>
      <c r="F26" s="4" t="s">
        <v>63</v>
      </c>
      <c r="G26" s="4" t="s">
        <v>64</v>
      </c>
    </row>
    <row r="27" customHeight="1" ht="14.0">
      <c r="A27" s="4">
        <f t="shared" si="0"/>
        <v>26.0</v>
      </c>
      <c r="B27" s="4" t="s">
        <v>86</v>
      </c>
      <c r="C27" s="4" t="s">
        <v>87</v>
      </c>
      <c r="D27" s="4" t="s">
        <v>88</v>
      </c>
      <c r="E27" s="4">
        <v>4.0</v>
      </c>
      <c r="F27" s="4" t="s">
        <v>63</v>
      </c>
      <c r="G27" s="4" t="s">
        <v>64</v>
      </c>
    </row>
    <row r="28" customHeight="1" ht="14.0">
      <c r="A28" s="4">
        <f t="shared" si="0"/>
        <v>27.0</v>
      </c>
      <c r="B28" s="4" t="s">
        <v>89</v>
      </c>
      <c r="C28" s="4" t="s">
        <v>90</v>
      </c>
      <c r="D28" s="4" t="s">
        <v>88</v>
      </c>
      <c r="E28" s="4">
        <v>4.0</v>
      </c>
      <c r="F28" s="4" t="s">
        <v>63</v>
      </c>
      <c r="G28" s="4" t="s">
        <v>64</v>
      </c>
    </row>
    <row r="29" customHeight="1" ht="14.0">
      <c r="A29" s="4">
        <f t="shared" si="0"/>
        <v>28.0</v>
      </c>
      <c r="B29" s="4" t="s">
        <v>91</v>
      </c>
      <c r="C29" s="4" t="s">
        <v>92</v>
      </c>
      <c r="D29" s="4" t="s">
        <v>88</v>
      </c>
      <c r="E29" s="4">
        <v>3.0</v>
      </c>
      <c r="F29" s="4" t="s">
        <v>63</v>
      </c>
      <c r="G29" s="4" t="s">
        <v>64</v>
      </c>
    </row>
    <row r="30" customHeight="1" ht="14.0">
      <c r="A30" s="4">
        <f t="shared" si="0"/>
        <v>29.0</v>
      </c>
      <c r="B30" s="4" t="s">
        <v>93</v>
      </c>
      <c r="C30" s="4" t="s">
        <v>94</v>
      </c>
      <c r="D30" s="4" t="s">
        <v>88</v>
      </c>
      <c r="E30" s="4">
        <v>4.0</v>
      </c>
      <c r="F30" s="4" t="s">
        <v>63</v>
      </c>
      <c r="G30" s="4" t="s">
        <v>64</v>
      </c>
    </row>
    <row r="31" customHeight="1" ht="14.0">
      <c r="A31" s="4">
        <f t="shared" si="0"/>
        <v>30.0</v>
      </c>
      <c r="B31" s="4" t="s">
        <v>95</v>
      </c>
      <c r="C31" s="4" t="s">
        <v>96</v>
      </c>
      <c r="D31" s="4" t="s">
        <v>88</v>
      </c>
      <c r="E31" s="4">
        <v>4.0</v>
      </c>
      <c r="F31" s="4" t="s">
        <v>63</v>
      </c>
      <c r="G31" s="4" t="s">
        <v>64</v>
      </c>
    </row>
    <row r="32" customHeight="1" ht="14.0">
      <c r="A32" s="4">
        <f t="shared" si="0"/>
        <v>31.0</v>
      </c>
      <c r="B32" s="4" t="s">
        <v>97</v>
      </c>
      <c r="C32" s="4" t="s">
        <v>98</v>
      </c>
      <c r="D32" s="4" t="s">
        <v>88</v>
      </c>
      <c r="E32" s="4">
        <v>5.0</v>
      </c>
      <c r="F32" s="4" t="s">
        <v>63</v>
      </c>
      <c r="G32" s="4" t="s">
        <v>64</v>
      </c>
    </row>
    <row r="33" customHeight="1" ht="14.0">
      <c r="A33" s="4">
        <f t="shared" si="0"/>
        <v>32.0</v>
      </c>
      <c r="B33" s="4" t="s">
        <v>99</v>
      </c>
      <c r="C33" s="4" t="s">
        <v>100</v>
      </c>
      <c r="D33" s="4" t="s">
        <v>88</v>
      </c>
      <c r="E33" s="4">
        <v>5.0</v>
      </c>
      <c r="F33" s="4" t="s">
        <v>63</v>
      </c>
      <c r="G33" s="4" t="s">
        <v>64</v>
      </c>
    </row>
    <row r="34" customHeight="1" ht="14.0">
      <c r="A34" s="4">
        <f t="shared" si="0"/>
        <v>33.0</v>
      </c>
      <c r="B34" s="4" t="s">
        <v>101</v>
      </c>
      <c r="C34" s="4" t="s">
        <v>102</v>
      </c>
      <c r="D34" s="4" t="s">
        <v>103</v>
      </c>
      <c r="E34" s="4">
        <v>6.0</v>
      </c>
      <c r="F34" s="4" t="s">
        <v>63</v>
      </c>
      <c r="G34" s="4" t="s">
        <v>64</v>
      </c>
    </row>
    <row r="35" customHeight="1" ht="14.0">
      <c r="A35" s="4">
        <f t="shared" si="0"/>
        <v>34.0</v>
      </c>
      <c r="B35" s="4" t="s">
        <v>104</v>
      </c>
      <c r="C35" s="4" t="s">
        <v>105</v>
      </c>
      <c r="D35" s="4" t="s">
        <v>103</v>
      </c>
      <c r="E35" s="4">
        <v>6.0</v>
      </c>
      <c r="F35" s="4" t="s">
        <v>63</v>
      </c>
      <c r="G35" s="4" t="s">
        <v>64</v>
      </c>
    </row>
    <row r="36" customHeight="1" ht="14.0">
      <c r="A36" s="4">
        <f t="shared" si="0"/>
        <v>35.0</v>
      </c>
      <c r="B36" s="4" t="s">
        <v>106</v>
      </c>
      <c r="C36" s="4" t="s">
        <v>107</v>
      </c>
      <c r="D36" s="4" t="s">
        <v>103</v>
      </c>
      <c r="E36" s="4">
        <v>7.0</v>
      </c>
      <c r="F36" s="4" t="s">
        <v>63</v>
      </c>
      <c r="G36" s="4" t="s">
        <v>64</v>
      </c>
    </row>
    <row r="37" customHeight="1" ht="14.0">
      <c r="A37" s="4">
        <f t="shared" si="0"/>
        <v>36.0</v>
      </c>
      <c r="B37" s="4" t="s">
        <v>108</v>
      </c>
      <c r="C37" s="4" t="s">
        <v>109</v>
      </c>
      <c r="D37" s="4" t="s">
        <v>103</v>
      </c>
      <c r="E37" s="4">
        <v>7.0</v>
      </c>
      <c r="F37" s="4" t="s">
        <v>63</v>
      </c>
      <c r="G37" s="4" t="s">
        <v>64</v>
      </c>
    </row>
    <row r="38" customHeight="1" ht="14.0">
      <c r="A38" s="4">
        <f t="shared" si="0"/>
        <v>37.0</v>
      </c>
      <c r="B38" s="4" t="s">
        <v>110</v>
      </c>
      <c r="C38" s="4" t="s">
        <v>111</v>
      </c>
      <c r="D38" s="4" t="s">
        <v>103</v>
      </c>
      <c r="E38" s="4">
        <v>10.0</v>
      </c>
      <c r="F38" s="4" t="s">
        <v>63</v>
      </c>
      <c r="G38" s="4" t="s">
        <v>64</v>
      </c>
    </row>
    <row r="39" customHeight="1" ht="14.0">
      <c r="A39" s="4">
        <f t="shared" si="0"/>
        <v>38.0</v>
      </c>
      <c r="B39" s="4" t="s">
        <v>112</v>
      </c>
      <c r="C39" s="4" t="s">
        <v>113</v>
      </c>
      <c r="D39" s="4" t="s">
        <v>103</v>
      </c>
      <c r="E39" s="4">
        <v>10.0</v>
      </c>
      <c r="F39" s="4" t="s">
        <v>63</v>
      </c>
      <c r="G39" s="4" t="s">
        <v>64</v>
      </c>
    </row>
    <row r="40" customHeight="1" ht="14.0">
      <c r="A40" s="4">
        <f t="shared" si="0"/>
        <v>39.0</v>
      </c>
      <c r="B40" s="4" t="s">
        <v>114</v>
      </c>
      <c r="C40" s="4" t="s">
        <v>115</v>
      </c>
      <c r="D40" s="4" t="s">
        <v>103</v>
      </c>
      <c r="E40" s="4">
        <v>8.0</v>
      </c>
      <c r="F40" s="4" t="s">
        <v>63</v>
      </c>
      <c r="G40" s="4" t="s">
        <v>64</v>
      </c>
    </row>
    <row r="41" customHeight="1" ht="14.0">
      <c r="A41" s="4">
        <f t="shared" si="0"/>
        <v>40.0</v>
      </c>
      <c r="B41" s="4" t="s">
        <v>116</v>
      </c>
      <c r="C41" s="4" t="s">
        <v>117</v>
      </c>
      <c r="D41" s="4" t="s">
        <v>103</v>
      </c>
      <c r="E41" s="4">
        <v>8.0</v>
      </c>
      <c r="F41" s="4" t="s">
        <v>63</v>
      </c>
      <c r="G41" s="4" t="s">
        <v>64</v>
      </c>
    </row>
    <row r="42" customHeight="1" ht="14.0">
      <c r="A42" s="4">
        <f t="shared" si="0"/>
        <v>41.0</v>
      </c>
      <c r="B42" s="4" t="s">
        <v>118</v>
      </c>
      <c r="C42" s="4" t="s">
        <v>119</v>
      </c>
      <c r="D42" s="4" t="s">
        <v>120</v>
      </c>
      <c r="E42" s="4">
        <v>12.0</v>
      </c>
      <c r="F42" s="4" t="s">
        <v>63</v>
      </c>
      <c r="G42" s="4" t="s">
        <v>64</v>
      </c>
    </row>
    <row r="43" customHeight="1" ht="14.0">
      <c r="A43" s="4">
        <f t="shared" si="0"/>
        <v>42.0</v>
      </c>
      <c r="B43" s="4" t="s">
        <v>121</v>
      </c>
      <c r="C43" s="4" t="s">
        <v>122</v>
      </c>
      <c r="D43" s="4" t="s">
        <v>123</v>
      </c>
      <c r="E43" s="4">
        <v>6.0</v>
      </c>
      <c r="F43" s="4" t="s">
        <v>63</v>
      </c>
      <c r="G43" s="4" t="s">
        <v>64</v>
      </c>
    </row>
    <row r="44" customHeight="1" ht="14.0">
      <c r="A44" s="4">
        <f t="shared" si="0"/>
        <v>43.0</v>
      </c>
      <c r="B44" s="4" t="s">
        <v>124</v>
      </c>
      <c r="C44" s="4" t="s">
        <v>125</v>
      </c>
      <c r="D44" s="4" t="s">
        <v>126</v>
      </c>
      <c r="E44" s="4">
        <v>5.0</v>
      </c>
      <c r="F44" s="4" t="s">
        <v>63</v>
      </c>
      <c r="G44" s="4" t="s">
        <v>64</v>
      </c>
    </row>
    <row r="45" customHeight="1" ht="14.0">
      <c r="A45" s="4">
        <f t="shared" si="0"/>
        <v>44.0</v>
      </c>
      <c r="B45" s="4" t="s">
        <v>127</v>
      </c>
      <c r="C45" s="4" t="s">
        <v>125</v>
      </c>
      <c r="D45" s="4" t="s">
        <v>126</v>
      </c>
      <c r="E45" s="4">
        <v>6.0</v>
      </c>
      <c r="F45" s="4" t="s">
        <v>63</v>
      </c>
      <c r="G45" s="4" t="s">
        <v>64</v>
      </c>
    </row>
    <row r="46" customHeight="1" ht="14.0">
      <c r="A46" s="4">
        <f t="shared" si="0"/>
        <v>45.0</v>
      </c>
      <c r="B46" s="4" t="s">
        <v>128</v>
      </c>
      <c r="C46" s="4" t="s">
        <v>125</v>
      </c>
      <c r="D46" s="4" t="s">
        <v>126</v>
      </c>
      <c r="E46" s="4">
        <v>4.0</v>
      </c>
      <c r="F46" s="4" t="s">
        <v>63</v>
      </c>
      <c r="G46" s="4" t="s">
        <v>64</v>
      </c>
    </row>
    <row r="47" customHeight="1" ht="14.0">
      <c r="A47" s="4">
        <f t="shared" si="0"/>
        <v>46.0</v>
      </c>
      <c r="B47" s="4" t="s">
        <v>129</v>
      </c>
      <c r="C47" s="4" t="s">
        <v>125</v>
      </c>
      <c r="D47" s="4" t="s">
        <v>126</v>
      </c>
      <c r="E47" s="4">
        <v>4.0</v>
      </c>
      <c r="F47" s="4" t="s">
        <v>63</v>
      </c>
      <c r="G47" s="4" t="s">
        <v>64</v>
      </c>
    </row>
    <row r="48" customHeight="1" ht="14.0">
      <c r="A48" s="4">
        <f t="shared" si="0"/>
        <v>47.0</v>
      </c>
      <c r="B48" s="4" t="s">
        <v>130</v>
      </c>
      <c r="C48" s="4" t="s">
        <v>125</v>
      </c>
      <c r="D48" s="4" t="s">
        <v>126</v>
      </c>
      <c r="E48" s="4">
        <v>4.0</v>
      </c>
      <c r="F48" s="4" t="s">
        <v>63</v>
      </c>
      <c r="G48" s="4" t="s">
        <v>64</v>
      </c>
    </row>
    <row r="49" customHeight="1" ht="14.0">
      <c r="A49" s="4">
        <f t="shared" si="0"/>
        <v>48.0</v>
      </c>
      <c r="B49" s="4" t="s">
        <v>131</v>
      </c>
      <c r="C49" s="4" t="s">
        <v>132</v>
      </c>
      <c r="D49" s="4" t="s">
        <v>133</v>
      </c>
      <c r="E49" s="4">
        <v>10.0</v>
      </c>
      <c r="F49" s="4" t="s">
        <v>63</v>
      </c>
      <c r="G49" s="4" t="s">
        <v>64</v>
      </c>
    </row>
    <row r="50" customHeight="1" ht="14.0">
      <c r="A50" s="4">
        <f t="shared" si="0"/>
        <v>49.0</v>
      </c>
      <c r="B50" s="4" t="s">
        <v>134</v>
      </c>
      <c r="C50" s="4" t="s">
        <v>135</v>
      </c>
      <c r="D50" s="4" t="s">
        <v>136</v>
      </c>
      <c r="E50" s="4">
        <v>6.0</v>
      </c>
      <c r="F50" s="4" t="s">
        <v>63</v>
      </c>
      <c r="G50" s="4" t="s">
        <v>64</v>
      </c>
    </row>
    <row r="51" customHeight="1" ht="14.0">
      <c r="A51" s="4">
        <f t="shared" si="0"/>
        <v>50.0</v>
      </c>
      <c r="B51" s="4" t="s">
        <v>137</v>
      </c>
      <c r="C51" s="4" t="s">
        <v>138</v>
      </c>
      <c r="D51" s="4" t="s">
        <v>139</v>
      </c>
      <c r="E51" s="4">
        <v>10.0</v>
      </c>
      <c r="F51" s="4" t="s">
        <v>63</v>
      </c>
      <c r="G51" s="4" t="s">
        <v>64</v>
      </c>
    </row>
    <row r="52" customHeight="1" ht="14.0">
      <c r="A52" s="4">
        <f t="shared" si="0"/>
        <v>51.0</v>
      </c>
      <c r="B52" s="4" t="s">
        <v>140</v>
      </c>
      <c r="C52" s="4" t="s">
        <v>141</v>
      </c>
      <c r="D52" s="4" t="s">
        <v>142</v>
      </c>
      <c r="E52" s="4">
        <v>14.0</v>
      </c>
      <c r="F52" s="4" t="s">
        <v>63</v>
      </c>
      <c r="G52" s="4" t="s">
        <v>64</v>
      </c>
    </row>
    <row r="53" customHeight="1" ht="14.0">
      <c r="A53" s="4">
        <f t="shared" si="0"/>
        <v>52.0</v>
      </c>
      <c r="B53" s="4" t="s">
        <v>143</v>
      </c>
      <c r="C53" s="4" t="s">
        <v>144</v>
      </c>
      <c r="D53" s="4" t="s">
        <v>142</v>
      </c>
      <c r="E53" s="4">
        <v>10.0</v>
      </c>
      <c r="F53" s="4" t="s">
        <v>63</v>
      </c>
      <c r="G53" s="4" t="s">
        <v>64</v>
      </c>
    </row>
    <row r="54" customHeight="1" ht="14.0">
      <c r="A54" s="4">
        <f t="shared" si="0"/>
        <v>53.0</v>
      </c>
      <c r="B54" s="4" t="s">
        <v>145</v>
      </c>
      <c r="C54" s="4" t="s">
        <v>146</v>
      </c>
      <c r="D54" s="4" t="s">
        <v>142</v>
      </c>
      <c r="E54" s="4">
        <v>10.0</v>
      </c>
      <c r="F54" s="4" t="s">
        <v>63</v>
      </c>
      <c r="G54" s="4" t="s">
        <v>64</v>
      </c>
    </row>
    <row r="55" customHeight="1" ht="14.0">
      <c r="A55" s="4">
        <f t="shared" si="0"/>
        <v>54.0</v>
      </c>
      <c r="B55" s="4" t="s">
        <v>147</v>
      </c>
      <c r="C55" s="4" t="s">
        <v>148</v>
      </c>
      <c r="D55" s="4" t="s">
        <v>142</v>
      </c>
      <c r="E55" s="4">
        <v>8.0</v>
      </c>
      <c r="F55" s="4" t="s">
        <v>63</v>
      </c>
      <c r="G55" s="4" t="s">
        <v>64</v>
      </c>
    </row>
    <row r="56" customHeight="1" ht="14.0">
      <c r="A56" s="4">
        <f t="shared" si="0"/>
        <v>55.0</v>
      </c>
      <c r="B56" s="4" t="s">
        <v>149</v>
      </c>
      <c r="C56" s="4" t="s">
        <v>150</v>
      </c>
      <c r="D56" s="4" t="s">
        <v>151</v>
      </c>
      <c r="E56" s="4">
        <v>10.0</v>
      </c>
      <c r="F56" s="4" t="s">
        <v>63</v>
      </c>
      <c r="G56" s="4" t="s">
        <v>64</v>
      </c>
    </row>
    <row r="57" customHeight="1" ht="14.0">
      <c r="A57" s="4">
        <f t="shared" si="0"/>
        <v>56.0</v>
      </c>
      <c r="B57" s="4" t="s">
        <v>152</v>
      </c>
      <c r="C57" s="4" t="s">
        <v>153</v>
      </c>
      <c r="D57" s="4" t="s">
        <v>154</v>
      </c>
      <c r="E57" s="4">
        <v>10.0</v>
      </c>
      <c r="F57" s="4" t="s">
        <v>63</v>
      </c>
      <c r="G57" s="4" t="s">
        <v>64</v>
      </c>
    </row>
    <row r="58" customHeight="1" ht="14.0">
      <c r="A58" s="4">
        <f t="shared" si="0"/>
        <v>57.0</v>
      </c>
      <c r="B58" s="4" t="s">
        <v>155</v>
      </c>
      <c r="C58" s="4" t="s">
        <v>156</v>
      </c>
      <c r="D58" s="4" t="s">
        <v>157</v>
      </c>
      <c r="E58" s="4">
        <v>12.0</v>
      </c>
      <c r="F58" s="4" t="s">
        <v>63</v>
      </c>
      <c r="G58" s="4" t="s">
        <v>64</v>
      </c>
    </row>
    <row r="59" customHeight="1" ht="14.0">
      <c r="A59" s="4">
        <f t="shared" si="0"/>
        <v>58.0</v>
      </c>
      <c r="B59" s="4" t="s">
        <v>158</v>
      </c>
      <c r="C59" s="4" t="s">
        <v>159</v>
      </c>
      <c r="D59" s="4" t="s">
        <v>160</v>
      </c>
      <c r="E59" s="4">
        <v>10.0</v>
      </c>
      <c r="F59" s="4" t="s">
        <v>63</v>
      </c>
      <c r="G59" s="4" t="s">
        <v>64</v>
      </c>
    </row>
    <row r="60" customHeight="1" ht="14.0">
      <c r="A60" s="4">
        <f t="shared" si="0"/>
        <v>59.0</v>
      </c>
      <c r="B60" s="4" t="s">
        <v>161</v>
      </c>
      <c r="C60" s="4" t="s">
        <v>162</v>
      </c>
      <c r="D60" s="4" t="s">
        <v>163</v>
      </c>
      <c r="E60" s="4">
        <v>8.0</v>
      </c>
      <c r="F60" s="4" t="s">
        <v>63</v>
      </c>
      <c r="G60" s="4" t="s">
        <v>64</v>
      </c>
    </row>
    <row r="61" customHeight="1" ht="14.0">
      <c r="A61" s="4">
        <f t="shared" si="0"/>
        <v>60.0</v>
      </c>
      <c r="B61" s="4" t="s">
        <v>164</v>
      </c>
      <c r="C61" s="4" t="s">
        <v>165</v>
      </c>
      <c r="D61" s="4" t="s">
        <v>166</v>
      </c>
      <c r="E61" s="4">
        <v>8.0</v>
      </c>
      <c r="F61" s="4" t="s">
        <v>63</v>
      </c>
      <c r="G61" s="4" t="s">
        <v>64</v>
      </c>
    </row>
    <row r="62" customHeight="1" ht="14.0">
      <c r="A62" s="4">
        <f t="shared" si="0"/>
        <v>61.0</v>
      </c>
      <c r="B62" s="4" t="s">
        <v>167</v>
      </c>
      <c r="C62" s="4" t="s">
        <v>168</v>
      </c>
      <c r="D62" s="4" t="s">
        <v>169</v>
      </c>
      <c r="E62" s="4">
        <v>8.0</v>
      </c>
      <c r="F62" s="4" t="s">
        <v>63</v>
      </c>
      <c r="G62" s="4" t="s">
        <v>64</v>
      </c>
    </row>
    <row r="63" customHeight="1" ht="14.0">
      <c r="A63" s="4">
        <f t="shared" si="0"/>
        <v>62.0</v>
      </c>
      <c r="B63" s="4" t="s">
        <v>170</v>
      </c>
      <c r="C63" s="4" t="s">
        <v>171</v>
      </c>
      <c r="D63" s="4" t="s">
        <v>172</v>
      </c>
      <c r="E63" s="4">
        <v>10.0</v>
      </c>
      <c r="F63" s="4" t="s">
        <v>63</v>
      </c>
      <c r="G63" s="4" t="s">
        <v>64</v>
      </c>
    </row>
    <row r="64" customHeight="1" ht="14.0">
      <c r="A64" s="4">
        <f t="shared" si="0"/>
        <v>63.0</v>
      </c>
      <c r="B64" s="4" t="s">
        <v>173</v>
      </c>
      <c r="C64" s="4" t="s">
        <v>174</v>
      </c>
      <c r="D64" s="4" t="s">
        <v>175</v>
      </c>
      <c r="E64" s="4">
        <v>8.0</v>
      </c>
      <c r="F64" s="4" t="s">
        <v>63</v>
      </c>
      <c r="G64" s="4" t="s">
        <v>64</v>
      </c>
    </row>
    <row r="65" customHeight="1" ht="14.0">
      <c r="A65" s="4">
        <f t="shared" si="0"/>
        <v>64.0</v>
      </c>
      <c r="B65" s="4" t="s">
        <v>176</v>
      </c>
      <c r="C65" s="4" t="s">
        <v>177</v>
      </c>
      <c r="D65" s="4" t="s">
        <v>178</v>
      </c>
      <c r="E65" s="4">
        <v>6.0</v>
      </c>
      <c r="F65" s="4" t="s">
        <v>63</v>
      </c>
      <c r="G65" s="4" t="s">
        <v>64</v>
      </c>
    </row>
    <row r="66" customHeight="1" ht="14.0">
      <c r="A66" s="4">
        <f t="shared" si="0"/>
        <v>65.0</v>
      </c>
      <c r="B66" s="4" t="s">
        <v>179</v>
      </c>
      <c r="C66" s="4" t="s">
        <v>180</v>
      </c>
      <c r="D66" s="4" t="s">
        <v>181</v>
      </c>
      <c r="E66" s="4">
        <v>6.0</v>
      </c>
      <c r="F66" s="4" t="s">
        <v>63</v>
      </c>
      <c r="G66" s="4" t="s">
        <v>64</v>
      </c>
    </row>
    <row r="67" customHeight="1" ht="14.0">
      <c r="A67" s="4">
        <f t="shared" si="0"/>
        <v>66.0</v>
      </c>
      <c r="B67" s="4" t="s">
        <v>182</v>
      </c>
      <c r="C67" s="4" t="s">
        <v>183</v>
      </c>
      <c r="D67" s="4" t="s">
        <v>184</v>
      </c>
      <c r="E67" s="4">
        <v>8.0</v>
      </c>
      <c r="F67" s="4" t="s">
        <v>63</v>
      </c>
      <c r="G67" s="4" t="s">
        <v>64</v>
      </c>
    </row>
    <row r="68" customHeight="1" ht="14.0">
      <c r="A68" s="4">
        <f t="shared" si="0"/>
        <v>67.0</v>
      </c>
      <c r="B68" s="4" t="s">
        <v>185</v>
      </c>
      <c r="C68" s="4" t="s">
        <v>183</v>
      </c>
      <c r="D68" s="4" t="s">
        <v>184</v>
      </c>
      <c r="E68" s="4">
        <v>8.0</v>
      </c>
      <c r="F68" s="4" t="s">
        <v>63</v>
      </c>
      <c r="G68" s="4" t="s">
        <v>64</v>
      </c>
    </row>
    <row r="69" customHeight="1" ht="14.0">
      <c r="A69" s="4">
        <f t="shared" si="0"/>
        <v>68.0</v>
      </c>
      <c r="B69" s="4" t="s">
        <v>186</v>
      </c>
      <c r="C69" s="4" t="s">
        <v>183</v>
      </c>
      <c r="D69" s="4" t="s">
        <v>184</v>
      </c>
      <c r="E69" s="4">
        <v>8.0</v>
      </c>
      <c r="F69" s="4" t="s">
        <v>63</v>
      </c>
      <c r="G69" s="4" t="s">
        <v>64</v>
      </c>
    </row>
    <row r="70" customHeight="1" ht="14.0">
      <c r="A70" s="4">
        <f t="shared" si="0"/>
        <v>69.0</v>
      </c>
      <c r="B70" s="4" t="s">
        <v>187</v>
      </c>
      <c r="C70" s="4" t="s">
        <v>188</v>
      </c>
      <c r="D70" s="4" t="s">
        <v>189</v>
      </c>
      <c r="E70" s="4">
        <v>10.0</v>
      </c>
      <c r="F70" s="4" t="s">
        <v>63</v>
      </c>
      <c r="G70" s="4" t="s">
        <v>64</v>
      </c>
    </row>
    <row r="71" customHeight="1" ht="14.0">
      <c r="A71" s="4">
        <f t="shared" si="0"/>
        <v>70.0</v>
      </c>
      <c r="B71" s="4" t="s">
        <v>190</v>
      </c>
      <c r="C71" s="4" t="s">
        <v>191</v>
      </c>
      <c r="D71" s="4" t="s">
        <v>192</v>
      </c>
      <c r="E71" s="4">
        <v>6.0</v>
      </c>
      <c r="F71" s="4" t="s">
        <v>63</v>
      </c>
      <c r="G71" s="4" t="s">
        <v>64</v>
      </c>
    </row>
    <row r="72" customHeight="1" ht="14.0">
      <c r="A72" s="4">
        <f t="shared" si="0"/>
        <v>71.0</v>
      </c>
      <c r="B72" s="4" t="s">
        <v>193</v>
      </c>
      <c r="C72" s="4" t="s">
        <v>194</v>
      </c>
      <c r="D72" s="4" t="s">
        <v>195</v>
      </c>
      <c r="E72" s="4">
        <v>10.0</v>
      </c>
      <c r="F72" s="4" t="s">
        <v>63</v>
      </c>
      <c r="G72" s="4" t="s">
        <v>64</v>
      </c>
    </row>
    <row r="73" customHeight="1" ht="14.0">
      <c r="A73" s="4">
        <f t="shared" si="0"/>
        <v>72.0</v>
      </c>
      <c r="B73" s="4" t="s">
        <v>196</v>
      </c>
      <c r="C73" s="4" t="s">
        <v>197</v>
      </c>
      <c r="D73" s="4" t="s">
        <v>195</v>
      </c>
      <c r="E73" s="4">
        <v>10.0</v>
      </c>
      <c r="F73" s="4" t="s">
        <v>63</v>
      </c>
      <c r="G73" s="4" t="s">
        <v>64</v>
      </c>
    </row>
    <row r="74" customHeight="1" ht="14.0">
      <c r="A74" s="4">
        <f t="shared" si="0"/>
        <v>73.0</v>
      </c>
      <c r="B74" s="4" t="s">
        <v>198</v>
      </c>
      <c r="C74" s="4" t="s">
        <v>199</v>
      </c>
      <c r="D74" s="4" t="s">
        <v>200</v>
      </c>
      <c r="E74" s="4">
        <v>6.0</v>
      </c>
      <c r="F74" s="4" t="s">
        <v>63</v>
      </c>
      <c r="G74" s="4" t="s">
        <v>64</v>
      </c>
    </row>
    <row r="75" customHeight="1" ht="14.0">
      <c r="A75" s="4">
        <f t="shared" si="0"/>
        <v>74.0</v>
      </c>
      <c r="B75" s="4" t="s">
        <v>201</v>
      </c>
      <c r="C75" s="4" t="s">
        <v>202</v>
      </c>
      <c r="D75" s="4" t="s">
        <v>203</v>
      </c>
      <c r="E75" s="4">
        <v>10.0</v>
      </c>
      <c r="F75" s="4" t="s">
        <v>63</v>
      </c>
      <c r="G75" s="4" t="s">
        <v>64</v>
      </c>
    </row>
    <row r="76" customHeight="1" ht="14.0">
      <c r="A76" s="4">
        <f t="shared" si="0"/>
        <v>75.0</v>
      </c>
      <c r="B76" s="4" t="s">
        <v>204</v>
      </c>
      <c r="C76" s="4" t="s">
        <v>205</v>
      </c>
      <c r="D76" s="4" t="s">
        <v>206</v>
      </c>
      <c r="E76" s="4">
        <v>14.0</v>
      </c>
      <c r="F76" s="4" t="s">
        <v>63</v>
      </c>
      <c r="G76" s="4" t="s">
        <v>64</v>
      </c>
    </row>
    <row r="77" customHeight="1" ht="14.0">
      <c r="A77" s="4">
        <f t="shared" si="0"/>
        <v>76.0</v>
      </c>
      <c r="B77" s="4" t="s">
        <v>207</v>
      </c>
      <c r="C77" s="4" t="s">
        <v>208</v>
      </c>
      <c r="D77" s="4" t="s">
        <v>209</v>
      </c>
      <c r="E77" s="4">
        <v>12.0</v>
      </c>
      <c r="F77" s="4" t="s">
        <v>63</v>
      </c>
      <c r="G77" s="4" t="s">
        <v>64</v>
      </c>
    </row>
    <row r="78" customHeight="1" ht="14.0">
      <c r="A78" s="4">
        <f t="shared" si="0"/>
        <v>77.0</v>
      </c>
      <c r="B78" s="4" t="s">
        <v>210</v>
      </c>
      <c r="C78" s="4" t="s">
        <v>211</v>
      </c>
      <c r="D78" s="4" t="s">
        <v>212</v>
      </c>
      <c r="E78" s="4">
        <v>6.0</v>
      </c>
      <c r="F78" s="4" t="s">
        <v>63</v>
      </c>
      <c r="G78" s="4" t="s">
        <v>64</v>
      </c>
    </row>
    <row r="79" customHeight="1" ht="14.0">
      <c r="A79" s="4">
        <f t="shared" si="0"/>
        <v>78.0</v>
      </c>
      <c r="B79" s="4" t="s">
        <v>213</v>
      </c>
      <c r="C79" s="4" t="s">
        <v>214</v>
      </c>
      <c r="D79" s="4" t="s">
        <v>215</v>
      </c>
      <c r="E79" s="4">
        <v>12.0</v>
      </c>
      <c r="F79" s="4" t="s">
        <v>63</v>
      </c>
      <c r="G79" s="4" t="s">
        <v>64</v>
      </c>
    </row>
    <row r="80" customHeight="1" ht="14.0">
      <c r="A80" s="4">
        <f t="shared" si="0"/>
        <v>79.0</v>
      </c>
      <c r="B80" s="4" t="s">
        <v>216</v>
      </c>
      <c r="C80" s="4" t="s">
        <v>217</v>
      </c>
      <c r="D80" s="4" t="s">
        <v>218</v>
      </c>
      <c r="E80" s="4">
        <v>10.0</v>
      </c>
      <c r="F80" s="4" t="s">
        <v>63</v>
      </c>
      <c r="G80" s="4" t="s">
        <v>64</v>
      </c>
    </row>
    <row r="81" customHeight="1" ht="14.0">
      <c r="A81" s="4">
        <f t="shared" si="0"/>
        <v>80.0</v>
      </c>
      <c r="B81" s="4" t="s">
        <v>219</v>
      </c>
      <c r="C81" s="4" t="s">
        <v>220</v>
      </c>
      <c r="D81" s="4" t="s">
        <v>221</v>
      </c>
      <c r="E81" s="4">
        <v>8.0</v>
      </c>
      <c r="F81" s="4" t="s">
        <v>63</v>
      </c>
      <c r="G81" s="4" t="s">
        <v>222</v>
      </c>
    </row>
    <row r="82" customHeight="1" ht="14.0">
      <c r="A82" s="4">
        <f t="shared" si="0"/>
        <v>81.0</v>
      </c>
      <c r="B82" s="4" t="s">
        <v>223</v>
      </c>
      <c r="C82" s="4" t="s">
        <v>224</v>
      </c>
      <c r="D82" s="4" t="s">
        <v>225</v>
      </c>
      <c r="E82" s="4">
        <v>8.0</v>
      </c>
      <c r="F82" s="4" t="s">
        <v>63</v>
      </c>
      <c r="G82" s="4" t="s">
        <v>222</v>
      </c>
    </row>
    <row r="83" customHeight="1" ht="14.0">
      <c r="A83" s="4">
        <f t="shared" si="0"/>
        <v>82.0</v>
      </c>
      <c r="B83" s="4" t="s">
        <v>226</v>
      </c>
      <c r="C83" s="4" t="s">
        <v>227</v>
      </c>
      <c r="D83" s="4" t="s">
        <v>228</v>
      </c>
      <c r="E83" s="4">
        <v>6.0</v>
      </c>
      <c r="F83" s="4" t="s">
        <v>63</v>
      </c>
      <c r="G83" s="4" t="s">
        <v>222</v>
      </c>
    </row>
    <row r="84" customHeight="1" ht="14.0">
      <c r="A84" s="4">
        <f t="shared" si="0"/>
        <v>83.0</v>
      </c>
      <c r="B84" s="4" t="s">
        <v>229</v>
      </c>
      <c r="C84" s="4" t="s">
        <v>230</v>
      </c>
      <c r="D84" s="4" t="s">
        <v>231</v>
      </c>
      <c r="E84" s="4">
        <v>6.0</v>
      </c>
      <c r="F84" s="4" t="s">
        <v>63</v>
      </c>
      <c r="G84" s="4" t="s">
        <v>222</v>
      </c>
    </row>
    <row r="85" customHeight="1" ht="14.0">
      <c r="A85" s="4">
        <f t="shared" si="0"/>
        <v>84.0</v>
      </c>
      <c r="B85" s="4" t="s">
        <v>232</v>
      </c>
      <c r="C85" s="4" t="s">
        <v>233</v>
      </c>
      <c r="D85" s="4" t="s">
        <v>234</v>
      </c>
      <c r="E85" s="4">
        <v>8.0</v>
      </c>
      <c r="F85" s="4" t="s">
        <v>63</v>
      </c>
      <c r="G85" s="4" t="s">
        <v>222</v>
      </c>
    </row>
    <row r="86" customHeight="1" ht="14.0">
      <c r="A86" s="4">
        <f t="shared" si="0"/>
        <v>85.0</v>
      </c>
      <c r="B86" s="4" t="s">
        <v>235</v>
      </c>
      <c r="C86" s="4" t="s">
        <v>236</v>
      </c>
      <c r="D86" s="4" t="s">
        <v>237</v>
      </c>
      <c r="E86" s="4">
        <v>16.0</v>
      </c>
      <c r="F86" s="4" t="s">
        <v>63</v>
      </c>
      <c r="G86" s="4" t="s">
        <v>222</v>
      </c>
    </row>
    <row r="87" customHeight="1" ht="14.0">
      <c r="A87" s="4">
        <f t="shared" si="0"/>
        <v>86.0</v>
      </c>
      <c r="B87" s="4" t="s">
        <v>238</v>
      </c>
      <c r="C87" s="4" t="s">
        <v>239</v>
      </c>
      <c r="D87" s="4" t="s">
        <v>240</v>
      </c>
      <c r="E87" s="4">
        <v>8.0</v>
      </c>
      <c r="F87" s="4" t="s">
        <v>63</v>
      </c>
      <c r="G87" s="4" t="s">
        <v>222</v>
      </c>
    </row>
    <row r="88" customHeight="1" ht="14.0">
      <c r="A88" s="4">
        <f t="shared" si="0"/>
        <v>87.0</v>
      </c>
      <c r="B88" s="4" t="s">
        <v>241</v>
      </c>
      <c r="C88" s="4" t="s">
        <v>217</v>
      </c>
      <c r="D88" s="4" t="s">
        <v>218</v>
      </c>
      <c r="E88" s="4">
        <v>14.0</v>
      </c>
      <c r="F88" s="4" t="s">
        <v>63</v>
      </c>
      <c r="G88" s="4" t="s">
        <v>222</v>
      </c>
    </row>
    <row r="89" customHeight="1" ht="14.0">
      <c r="A89" s="4">
        <f t="shared" si="0"/>
        <v>88.0</v>
      </c>
      <c r="B89" s="4" t="s">
        <v>242</v>
      </c>
      <c r="C89" s="4" t="s">
        <v>243</v>
      </c>
      <c r="D89" s="4" t="s">
        <v>244</v>
      </c>
      <c r="E89" s="4">
        <v>10.0</v>
      </c>
      <c r="F89" s="4" t="s">
        <v>63</v>
      </c>
      <c r="G89" s="4" t="s">
        <v>222</v>
      </c>
    </row>
    <row r="90" customHeight="1" ht="14.0">
      <c r="A90" s="4">
        <f t="shared" si="0"/>
        <v>89.0</v>
      </c>
      <c r="B90" s="4" t="s">
        <v>245</v>
      </c>
      <c r="C90" s="4" t="s">
        <v>246</v>
      </c>
      <c r="D90" s="4" t="s">
        <v>247</v>
      </c>
      <c r="E90" s="4">
        <v>8.0</v>
      </c>
      <c r="F90" s="4" t="s">
        <v>63</v>
      </c>
      <c r="G90" s="4" t="s">
        <v>222</v>
      </c>
    </row>
    <row r="91" customHeight="1" ht="14.0">
      <c r="A91" s="4">
        <f t="shared" si="0"/>
        <v>90.0</v>
      </c>
      <c r="B91" s="4" t="s">
        <v>248</v>
      </c>
      <c r="C91" s="4" t="s">
        <v>249</v>
      </c>
      <c r="D91" s="4" t="s">
        <v>250</v>
      </c>
      <c r="E91" s="4">
        <v>8.0</v>
      </c>
      <c r="F91" s="4" t="s">
        <v>63</v>
      </c>
      <c r="G91" s="4" t="s">
        <v>222</v>
      </c>
    </row>
    <row r="92" customHeight="1" ht="14.0">
      <c r="A92" s="4">
        <f t="shared" si="0"/>
        <v>91.0</v>
      </c>
      <c r="B92" s="4" t="s">
        <v>251</v>
      </c>
      <c r="C92" s="4" t="s">
        <v>217</v>
      </c>
      <c r="D92" s="4" t="s">
        <v>218</v>
      </c>
      <c r="E92" s="4">
        <v>8.0</v>
      </c>
      <c r="F92" s="4" t="s">
        <v>63</v>
      </c>
      <c r="G92" s="4" t="s">
        <v>222</v>
      </c>
    </row>
    <row r="93" customHeight="1" ht="14.0">
      <c r="A93" s="4">
        <f t="shared" si="0"/>
        <v>92.0</v>
      </c>
      <c r="B93" s="4" t="s">
        <v>252</v>
      </c>
      <c r="C93" s="4" t="s">
        <v>253</v>
      </c>
      <c r="D93" s="4" t="s">
        <v>221</v>
      </c>
      <c r="E93" s="4">
        <v>10.0</v>
      </c>
      <c r="F93" s="4" t="s">
        <v>63</v>
      </c>
      <c r="G93" s="4" t="s">
        <v>254</v>
      </c>
    </row>
    <row r="94" customHeight="1" ht="14.0">
      <c r="A94" s="4">
        <f t="shared" si="0"/>
        <v>93.0</v>
      </c>
      <c r="B94" s="4" t="s">
        <v>255</v>
      </c>
      <c r="C94" s="4" t="s">
        <v>256</v>
      </c>
      <c r="D94" s="4" t="s">
        <v>257</v>
      </c>
      <c r="E94" s="4">
        <v>14.0</v>
      </c>
      <c r="F94" s="4" t="s">
        <v>63</v>
      </c>
      <c r="G94" s="4" t="s">
        <v>254</v>
      </c>
    </row>
    <row r="95" customHeight="1" ht="14.0">
      <c r="A95" s="4">
        <f t="shared" si="0"/>
        <v>94.0</v>
      </c>
      <c r="B95" s="4" t="s">
        <v>258</v>
      </c>
      <c r="C95" s="4" t="s">
        <v>227</v>
      </c>
      <c r="D95" s="4" t="s">
        <v>259</v>
      </c>
      <c r="E95" s="4">
        <v>10.0</v>
      </c>
      <c r="F95" s="4" t="s">
        <v>63</v>
      </c>
      <c r="G95" s="4" t="s">
        <v>254</v>
      </c>
    </row>
    <row r="96" customHeight="1" ht="14.0">
      <c r="A96" s="4">
        <f t="shared" si="0"/>
        <v>95.0</v>
      </c>
      <c r="B96" s="4" t="s">
        <v>260</v>
      </c>
      <c r="C96" s="4" t="s">
        <v>261</v>
      </c>
      <c r="D96" s="4" t="s">
        <v>262</v>
      </c>
      <c r="E96" s="4">
        <v>8.0</v>
      </c>
      <c r="F96" s="4" t="s">
        <v>63</v>
      </c>
      <c r="G96" s="4" t="s">
        <v>254</v>
      </c>
    </row>
    <row r="97" customHeight="1" ht="14.0">
      <c r="A97" s="4">
        <f t="shared" si="0"/>
        <v>96.0</v>
      </c>
      <c r="B97" s="4" t="s">
        <v>263</v>
      </c>
      <c r="C97" s="4" t="s">
        <v>264</v>
      </c>
      <c r="D97" s="4" t="s">
        <v>265</v>
      </c>
      <c r="E97" s="4">
        <v>18.0</v>
      </c>
      <c r="F97" s="4" t="s">
        <v>63</v>
      </c>
      <c r="G97" s="4" t="s">
        <v>254</v>
      </c>
    </row>
    <row r="98" customHeight="1" ht="14.0">
      <c r="A98" s="4">
        <f t="shared" si="0"/>
        <v>97.0</v>
      </c>
      <c r="B98" s="4" t="s">
        <v>266</v>
      </c>
      <c r="C98" s="4" t="s">
        <v>267</v>
      </c>
      <c r="D98" s="4" t="s">
        <v>268</v>
      </c>
      <c r="E98" s="4">
        <v>16.0</v>
      </c>
      <c r="F98" s="4" t="s">
        <v>63</v>
      </c>
      <c r="G98" s="4" t="s">
        <v>254</v>
      </c>
    </row>
    <row r="99" customHeight="1" ht="14.0">
      <c r="A99" s="4">
        <f t="shared" si="0"/>
        <v>98.0</v>
      </c>
      <c r="B99" s="4" t="s">
        <v>269</v>
      </c>
      <c r="C99" s="4" t="s">
        <v>243</v>
      </c>
      <c r="D99" s="4" t="s">
        <v>244</v>
      </c>
      <c r="E99" s="4">
        <v>8.0</v>
      </c>
      <c r="F99" s="4" t="s">
        <v>63</v>
      </c>
      <c r="G99" s="4" t="s">
        <v>254</v>
      </c>
    </row>
    <row r="100" customHeight="1" ht="14.0">
      <c r="A100" s="4">
        <f t="shared" si="0"/>
        <v>99.0</v>
      </c>
      <c r="B100" s="4" t="s">
        <v>270</v>
      </c>
      <c r="C100" s="4" t="s">
        <v>246</v>
      </c>
      <c r="D100" s="4" t="s">
        <v>247</v>
      </c>
      <c r="E100" s="4">
        <v>8.0</v>
      </c>
      <c r="F100" s="4" t="s">
        <v>63</v>
      </c>
      <c r="G100" s="4" t="s">
        <v>254</v>
      </c>
    </row>
    <row r="101" customHeight="1" ht="14.0">
      <c r="A101" s="4">
        <f t="shared" si="0"/>
        <v>100.0</v>
      </c>
      <c r="B101" s="4" t="s">
        <v>271</v>
      </c>
      <c r="C101" s="4" t="s">
        <v>272</v>
      </c>
      <c r="D101" s="4" t="s">
        <v>273</v>
      </c>
      <c r="E101" s="4">
        <v>10.0</v>
      </c>
      <c r="F101" s="4" t="s">
        <v>63</v>
      </c>
      <c r="G101" s="4" t="s">
        <v>254</v>
      </c>
    </row>
    <row r="102" customHeight="1" ht="14.0">
      <c r="A102" s="4">
        <f t="shared" si="0"/>
        <v>101.0</v>
      </c>
      <c r="B102" s="4" t="s">
        <v>274</v>
      </c>
      <c r="C102" s="4" t="s">
        <v>217</v>
      </c>
      <c r="D102" s="4" t="s">
        <v>275</v>
      </c>
      <c r="E102" s="4">
        <v>8.0</v>
      </c>
      <c r="F102" s="4" t="s">
        <v>63</v>
      </c>
      <c r="G102" s="4" t="s">
        <v>254</v>
      </c>
    </row>
    <row r="103" customHeight="1" ht="14.0">
      <c r="A103" s="4">
        <f t="shared" si="0"/>
        <v>102.0</v>
      </c>
      <c r="B103" s="4" t="s">
        <v>276</v>
      </c>
      <c r="C103" s="4" t="s">
        <v>277</v>
      </c>
      <c r="D103" s="4" t="s">
        <v>278</v>
      </c>
      <c r="E103" s="4">
        <v>4.0</v>
      </c>
      <c r="F103" s="4" t="s">
        <v>63</v>
      </c>
      <c r="G103" s="4" t="s">
        <v>279</v>
      </c>
    </row>
    <row r="104" customHeight="1" ht="14.0">
      <c r="A104" s="4">
        <f t="shared" si="0"/>
        <v>103.0</v>
      </c>
      <c r="B104" s="4" t="s">
        <v>280</v>
      </c>
      <c r="C104" s="4" t="s">
        <v>264</v>
      </c>
      <c r="D104" s="4" t="s">
        <v>281</v>
      </c>
      <c r="E104" s="4">
        <v>6.0</v>
      </c>
      <c r="F104" s="4" t="s">
        <v>63</v>
      </c>
      <c r="G104" s="4" t="s">
        <v>279</v>
      </c>
    </row>
    <row r="105" customHeight="1" ht="14.0">
      <c r="A105" s="4">
        <f t="shared" si="0"/>
        <v>104.0</v>
      </c>
      <c r="B105" s="4" t="s">
        <v>282</v>
      </c>
      <c r="C105" s="4" t="s">
        <v>283</v>
      </c>
      <c r="D105" s="4" t="s">
        <v>247</v>
      </c>
      <c r="E105" s="4">
        <v>12.0</v>
      </c>
      <c r="F105" s="4" t="s">
        <v>63</v>
      </c>
      <c r="G105" s="4" t="s">
        <v>279</v>
      </c>
    </row>
    <row r="106" customHeight="1" ht="14.0">
      <c r="A106" s="4">
        <f t="shared" si="0"/>
        <v>105.0</v>
      </c>
      <c r="B106" s="4" t="s">
        <v>284</v>
      </c>
      <c r="C106" s="4" t="s">
        <v>285</v>
      </c>
      <c r="D106" s="4" t="s">
        <v>286</v>
      </c>
      <c r="E106" s="4">
        <v>8.0</v>
      </c>
      <c r="F106" s="4" t="s">
        <v>63</v>
      </c>
      <c r="G106" s="4" t="s">
        <v>254</v>
      </c>
    </row>
    <row r="107" customHeight="1" ht="14.0">
      <c r="A107" s="4">
        <f t="shared" si="0"/>
        <v>106.0</v>
      </c>
      <c r="B107" s="4" t="s">
        <v>287</v>
      </c>
      <c r="C107" s="4" t="s">
        <v>288</v>
      </c>
      <c r="D107" s="4" t="s">
        <v>289</v>
      </c>
      <c r="E107" s="4">
        <v>10.0</v>
      </c>
      <c r="F107" s="4" t="s">
        <v>63</v>
      </c>
      <c r="G107" s="4" t="s">
        <v>254</v>
      </c>
    </row>
    <row r="108" customHeight="1" ht="14.0">
      <c r="A108" s="4">
        <f t="shared" si="0"/>
        <v>107.0</v>
      </c>
      <c r="B108" s="4" t="s">
        <v>290</v>
      </c>
      <c r="C108" s="4" t="s">
        <v>291</v>
      </c>
      <c r="D108" s="4" t="s">
        <v>292</v>
      </c>
      <c r="E108" s="4">
        <v>240.0</v>
      </c>
      <c r="F108" s="4" t="s">
        <v>63</v>
      </c>
      <c r="G108" s="4" t="s">
        <v>293</v>
      </c>
    </row>
    <row r="109" customHeight="1" ht="14.0">
      <c r="A109" s="4">
        <v>1.0</v>
      </c>
      <c r="B109" s="4" t="s">
        <v>294</v>
      </c>
      <c r="C109" s="4" t="s">
        <v>295</v>
      </c>
      <c r="D109" s="4" t="s">
        <v>296</v>
      </c>
      <c r="E109" s="4">
        <v>4.0</v>
      </c>
      <c r="F109" s="4" t="s">
        <v>297</v>
      </c>
      <c r="G109" s="4" t="s">
        <v>222</v>
      </c>
    </row>
    <row r="110" customHeight="1" ht="14.0">
      <c r="A110" s="4">
        <v>2.0</v>
      </c>
      <c r="B110" s="4" t="s">
        <v>298</v>
      </c>
      <c r="C110" s="4" t="s">
        <v>299</v>
      </c>
      <c r="D110" s="4" t="s">
        <v>300</v>
      </c>
      <c r="E110" s="4">
        <v>4.0</v>
      </c>
      <c r="F110" s="4" t="s">
        <v>297</v>
      </c>
      <c r="G110" s="4" t="s">
        <v>222</v>
      </c>
    </row>
    <row r="111" customHeight="1" ht="14.0">
      <c r="A111" s="4">
        <v>3.0</v>
      </c>
      <c r="B111" s="4" t="s">
        <v>301</v>
      </c>
      <c r="C111" s="4" t="s">
        <v>302</v>
      </c>
      <c r="D111" s="4" t="s">
        <v>303</v>
      </c>
      <c r="E111" s="4">
        <v>4.0</v>
      </c>
      <c r="F111" s="4" t="s">
        <v>297</v>
      </c>
      <c r="G111" s="4" t="s">
        <v>222</v>
      </c>
    </row>
    <row r="112" customHeight="1" ht="14.0">
      <c r="A112" s="4">
        <v>4.0</v>
      </c>
      <c r="B112" s="4" t="s">
        <v>304</v>
      </c>
      <c r="C112" s="4" t="s">
        <v>305</v>
      </c>
      <c r="D112" s="4" t="s">
        <v>306</v>
      </c>
      <c r="E112" s="4">
        <v>6.0</v>
      </c>
      <c r="F112" s="4" t="s">
        <v>297</v>
      </c>
      <c r="G112" s="4" t="s">
        <v>222</v>
      </c>
    </row>
    <row r="113" customHeight="1" ht="14.0">
      <c r="A113" s="4">
        <v>5.0</v>
      </c>
      <c r="B113" s="4" t="s">
        <v>307</v>
      </c>
      <c r="C113" s="4" t="s">
        <v>308</v>
      </c>
      <c r="D113" s="4" t="s">
        <v>309</v>
      </c>
      <c r="E113" s="4">
        <v>8.0</v>
      </c>
      <c r="F113" s="4" t="s">
        <v>297</v>
      </c>
      <c r="G113" s="4" t="s">
        <v>222</v>
      </c>
    </row>
    <row r="114" customHeight="1" ht="14.0">
      <c r="A114" s="4">
        <v>6.0</v>
      </c>
      <c r="B114" s="4" t="s">
        <v>310</v>
      </c>
      <c r="C114" s="4" t="s">
        <v>311</v>
      </c>
      <c r="D114" s="4" t="s">
        <v>312</v>
      </c>
      <c r="E114" s="4">
        <v>6.0</v>
      </c>
      <c r="F114" s="4" t="s">
        <v>297</v>
      </c>
      <c r="G114" s="4" t="s">
        <v>222</v>
      </c>
    </row>
    <row r="115" customHeight="1" ht="14.0">
      <c r="A115" s="4">
        <v>7.0</v>
      </c>
      <c r="B115" s="4" t="s">
        <v>313</v>
      </c>
      <c r="C115" s="4" t="s">
        <v>314</v>
      </c>
      <c r="D115" s="4" t="s">
        <v>315</v>
      </c>
      <c r="E115" s="4">
        <v>3.0</v>
      </c>
      <c r="F115" s="4" t="s">
        <v>297</v>
      </c>
      <c r="G115" s="4" t="s">
        <v>222</v>
      </c>
    </row>
    <row r="116" customHeight="1" ht="14.0">
      <c r="A116" s="4">
        <v>8.0</v>
      </c>
      <c r="B116" s="4" t="s">
        <v>316</v>
      </c>
      <c r="C116" s="4" t="s">
        <v>317</v>
      </c>
      <c r="D116" s="4" t="s">
        <v>318</v>
      </c>
      <c r="E116" s="4">
        <v>6.0</v>
      </c>
      <c r="F116" s="4" t="s">
        <v>297</v>
      </c>
      <c r="G116" s="4" t="s">
        <v>222</v>
      </c>
    </row>
    <row r="117" customHeight="1" ht="14.0">
      <c r="A117" s="4">
        <v>9.0</v>
      </c>
      <c r="B117" s="4" t="s">
        <v>319</v>
      </c>
      <c r="C117" s="4" t="s">
        <v>320</v>
      </c>
      <c r="D117" s="4" t="s">
        <v>321</v>
      </c>
      <c r="E117" s="4">
        <v>10.0</v>
      </c>
      <c r="F117" s="4" t="s">
        <v>297</v>
      </c>
      <c r="G117" s="4" t="s">
        <v>254</v>
      </c>
    </row>
    <row r="118" customHeight="1" ht="14.0">
      <c r="A118" s="4">
        <v>10.0</v>
      </c>
      <c r="B118" s="4" t="s">
        <v>322</v>
      </c>
      <c r="C118" s="4" t="s">
        <v>323</v>
      </c>
      <c r="D118" s="4" t="s">
        <v>324</v>
      </c>
      <c r="E118" s="4">
        <v>6.0</v>
      </c>
      <c r="F118" s="4" t="s">
        <v>297</v>
      </c>
      <c r="G118" s="4" t="s">
        <v>254</v>
      </c>
    </row>
    <row r="119" customHeight="1" ht="14.0">
      <c r="A119" s="4">
        <v>11.0</v>
      </c>
      <c r="B119" s="4" t="s">
        <v>325</v>
      </c>
      <c r="C119" s="4" t="s">
        <v>326</v>
      </c>
      <c r="D119" s="4" t="s">
        <v>327</v>
      </c>
      <c r="E119" s="4">
        <v>4.0</v>
      </c>
      <c r="F119" s="4" t="s">
        <v>297</v>
      </c>
      <c r="G119" s="4" t="s">
        <v>279</v>
      </c>
    </row>
    <row r="120" customHeight="1" ht="14.0">
      <c r="A120" s="4">
        <v>12.0</v>
      </c>
      <c r="B120" s="4" t="s">
        <v>328</v>
      </c>
      <c r="C120" s="4" t="s">
        <v>329</v>
      </c>
      <c r="D120" s="4" t="s">
        <v>330</v>
      </c>
      <c r="E120" s="4">
        <v>8.0</v>
      </c>
      <c r="F120" s="4" t="s">
        <v>297</v>
      </c>
      <c r="G120" s="4" t="s">
        <v>293</v>
      </c>
    </row>
    <row r="121" customHeight="1" ht="14.0">
      <c r="E121" s="4">
        <f>SUM(E2:E120)</f>
        <v>1133.0</v>
      </c>
    </row>
    <row r="122" customHeight="1" ht="14.0">
      <c r="A122" s="5" t="s">
        <v>0</v>
      </c>
      <c r="B122" s="5" t="s">
        <v>1</v>
      </c>
      <c r="C122" s="5" t="s">
        <v>331</v>
      </c>
      <c r="D122" s="5" t="s">
        <v>3</v>
      </c>
      <c r="E122" s="5" t="s">
        <v>4</v>
      </c>
      <c r="F122" s="5" t="s">
        <v>5</v>
      </c>
      <c r="G122" s="5" t="s">
        <v>6</v>
      </c>
    </row>
    <row r="123" customHeight="1" ht="14.0">
      <c r="A123">
        <v>1.0</v>
      </c>
      <c r="B123" s="6" t="s">
        <v>332</v>
      </c>
      <c r="C123" s="6" t="s">
        <v>333</v>
      </c>
      <c r="D123" s="6" t="s">
        <v>334</v>
      </c>
      <c r="E123">
        <v>12.0</v>
      </c>
      <c r="F123" t="s">
        <v>63</v>
      </c>
      <c r="G123" t="s">
        <v>64</v>
      </c>
    </row>
    <row r="124" customHeight="1" ht="14.0">
      <c r="A124">
        <v>2.0</v>
      </c>
      <c r="B124" s="6" t="s">
        <v>335</v>
      </c>
      <c r="C124" s="6" t="s">
        <v>336</v>
      </c>
      <c r="D124" s="6" t="s">
        <v>337</v>
      </c>
      <c r="E124">
        <v>16.0</v>
      </c>
      <c r="F124" t="s">
        <v>63</v>
      </c>
      <c r="G124" t="s">
        <v>64</v>
      </c>
    </row>
    <row r="125" customHeight="1" ht="14.0">
      <c r="A125">
        <v>3.0</v>
      </c>
      <c r="B125" s="6" t="s">
        <v>338</v>
      </c>
      <c r="C125" s="6" t="s">
        <v>339</v>
      </c>
      <c r="D125" s="6" t="s">
        <v>340</v>
      </c>
      <c r="E125">
        <v>10.0</v>
      </c>
      <c r="F125" t="s">
        <v>63</v>
      </c>
      <c r="G125" t="s">
        <v>64</v>
      </c>
    </row>
    <row r="126" customHeight="1" ht="14.0">
      <c r="A126">
        <v>4.0</v>
      </c>
      <c r="B126" s="6" t="s">
        <v>341</v>
      </c>
      <c r="C126" s="6" t="s">
        <v>342</v>
      </c>
      <c r="D126" s="6" t="s">
        <v>343</v>
      </c>
      <c r="E126">
        <v>12.0</v>
      </c>
      <c r="F126" t="s">
        <v>63</v>
      </c>
      <c r="G126" t="s">
        <v>64</v>
      </c>
    </row>
    <row r="127" customHeight="1" ht="14.0">
      <c r="A127">
        <v>5.0</v>
      </c>
      <c r="B127" s="6" t="s">
        <v>344</v>
      </c>
      <c r="C127" s="6" t="s">
        <v>345</v>
      </c>
      <c r="D127" s="6" t="s">
        <v>346</v>
      </c>
      <c r="E127">
        <v>14.0</v>
      </c>
      <c r="F127" t="s">
        <v>63</v>
      </c>
      <c r="G127" t="s">
        <v>64</v>
      </c>
    </row>
    <row r="128" customHeight="1" ht="14.0">
      <c r="A128">
        <v>6.0</v>
      </c>
      <c r="B128" s="6" t="s">
        <v>347</v>
      </c>
      <c r="C128" s="6" t="s">
        <v>348</v>
      </c>
      <c r="D128" s="6" t="s">
        <v>349</v>
      </c>
      <c r="E128">
        <v>14.0</v>
      </c>
      <c r="F128" t="s">
        <v>63</v>
      </c>
      <c r="G128" t="s">
        <v>64</v>
      </c>
    </row>
    <row r="129" customHeight="1" ht="14.0">
      <c r="A129">
        <v>7.0</v>
      </c>
      <c r="B129" s="6" t="s">
        <v>350</v>
      </c>
      <c r="C129" s="6" t="s">
        <v>351</v>
      </c>
      <c r="D129" s="6" t="s">
        <v>352</v>
      </c>
      <c r="E129">
        <v>8.0</v>
      </c>
      <c r="F129" t="s">
        <v>63</v>
      </c>
      <c r="G129" t="s">
        <v>64</v>
      </c>
    </row>
    <row r="130" customHeight="1" ht="14.0">
      <c r="A130">
        <v>8.0</v>
      </c>
      <c r="B130" s="6" t="s">
        <v>353</v>
      </c>
      <c r="C130" s="6" t="s">
        <v>354</v>
      </c>
      <c r="D130" s="6" t="s">
        <v>355</v>
      </c>
      <c r="E130">
        <v>24.0</v>
      </c>
      <c r="F130" t="s">
        <v>63</v>
      </c>
      <c r="G130" t="s">
        <v>64</v>
      </c>
    </row>
    <row r="131" customHeight="1" ht="14.0">
      <c r="A131">
        <v>9.0</v>
      </c>
      <c r="B131" s="6" t="s">
        <v>356</v>
      </c>
      <c r="C131" s="6" t="s">
        <v>357</v>
      </c>
      <c r="D131" s="6" t="s">
        <v>358</v>
      </c>
      <c r="E131">
        <v>12.0</v>
      </c>
      <c r="F131" t="s">
        <v>63</v>
      </c>
      <c r="G131" t="s">
        <v>64</v>
      </c>
    </row>
    <row r="132" customHeight="1" ht="14.0">
      <c r="A132">
        <v>10.0</v>
      </c>
      <c r="B132" s="6" t="s">
        <v>359</v>
      </c>
      <c r="C132" s="6" t="s">
        <v>360</v>
      </c>
      <c r="D132" s="6" t="s">
        <v>361</v>
      </c>
      <c r="E132">
        <v>10.0</v>
      </c>
      <c r="F132" t="s">
        <v>63</v>
      </c>
      <c r="G132" t="s">
        <v>64</v>
      </c>
    </row>
    <row r="133" customHeight="1" ht="14.0">
      <c r="A133">
        <v>11.0</v>
      </c>
      <c r="B133" s="6" t="s">
        <v>362</v>
      </c>
      <c r="C133" s="6" t="s">
        <v>363</v>
      </c>
      <c r="D133" s="6" t="s">
        <v>364</v>
      </c>
      <c r="E133">
        <v>16.0</v>
      </c>
      <c r="F133" t="s">
        <v>63</v>
      </c>
      <c r="G133" t="s">
        <v>64</v>
      </c>
    </row>
    <row r="134" customHeight="1" ht="14.0">
      <c r="A134">
        <v>12.0</v>
      </c>
      <c r="B134" s="6" t="s">
        <v>365</v>
      </c>
      <c r="C134" s="6" t="s">
        <v>366</v>
      </c>
      <c r="D134" s="6" t="s">
        <v>367</v>
      </c>
      <c r="E134">
        <v>10.0</v>
      </c>
      <c r="F134" t="s">
        <v>63</v>
      </c>
      <c r="G134" t="s">
        <v>64</v>
      </c>
    </row>
    <row r="135" customHeight="1" ht="14.0">
      <c r="A135">
        <v>13.0</v>
      </c>
      <c r="B135" s="6" t="s">
        <v>368</v>
      </c>
      <c r="C135" s="6" t="s">
        <v>369</v>
      </c>
      <c r="D135" s="6" t="s">
        <v>364</v>
      </c>
      <c r="E135">
        <v>14.0</v>
      </c>
      <c r="F135" t="s">
        <v>63</v>
      </c>
      <c r="G135" t="s">
        <v>64</v>
      </c>
    </row>
    <row r="136" customHeight="1" ht="14.0">
      <c r="A136">
        <v>14.0</v>
      </c>
      <c r="B136" s="6" t="s">
        <v>370</v>
      </c>
      <c r="C136" s="6" t="s">
        <v>371</v>
      </c>
      <c r="D136" s="6" t="s">
        <v>372</v>
      </c>
      <c r="E136">
        <v>18.0</v>
      </c>
      <c r="F136" t="s">
        <v>63</v>
      </c>
      <c r="G136" t="s">
        <v>64</v>
      </c>
    </row>
    <row r="137" customHeight="1" ht="14.0">
      <c r="A137">
        <v>15.0</v>
      </c>
      <c r="B137" s="6" t="s">
        <v>373</v>
      </c>
      <c r="C137" s="6" t="s">
        <v>374</v>
      </c>
      <c r="D137" s="6" t="s">
        <v>375</v>
      </c>
      <c r="E137">
        <v>10.0</v>
      </c>
      <c r="F137" t="s">
        <v>63</v>
      </c>
      <c r="G137" t="s">
        <v>64</v>
      </c>
    </row>
    <row r="138" customHeight="1" ht="14.0">
      <c r="A138">
        <v>16.0</v>
      </c>
      <c r="B138" s="6" t="s">
        <v>376</v>
      </c>
      <c r="C138" s="6" t="s">
        <v>377</v>
      </c>
      <c r="D138" s="6" t="s">
        <v>364</v>
      </c>
      <c r="E138">
        <v>14.0</v>
      </c>
      <c r="F138" t="s">
        <v>63</v>
      </c>
      <c r="G138" t="s">
        <v>64</v>
      </c>
    </row>
    <row r="139" customHeight="1" ht="14.0">
      <c r="A139">
        <v>17.0</v>
      </c>
      <c r="B139" s="6" t="s">
        <v>378</v>
      </c>
      <c r="C139" s="6" t="s">
        <v>379</v>
      </c>
      <c r="D139" s="6" t="s">
        <v>380</v>
      </c>
      <c r="E139">
        <v>16.0</v>
      </c>
      <c r="F139" t="s">
        <v>63</v>
      </c>
      <c r="G139" t="s">
        <v>64</v>
      </c>
    </row>
    <row r="140" customHeight="1" ht="14.0">
      <c r="A140">
        <v>18.0</v>
      </c>
      <c r="B140" s="6" t="s">
        <v>381</v>
      </c>
      <c r="C140" s="6" t="s">
        <v>382</v>
      </c>
      <c r="D140" s="6" t="s">
        <v>383</v>
      </c>
      <c r="E140">
        <v>20.0</v>
      </c>
      <c r="F140" t="s">
        <v>63</v>
      </c>
      <c r="G140" t="s">
        <v>64</v>
      </c>
    </row>
    <row r="141" customHeight="1" ht="14.0">
      <c r="A141">
        <v>19.0</v>
      </c>
      <c r="B141" s="6" t="s">
        <v>384</v>
      </c>
      <c r="C141" s="6" t="s">
        <v>385</v>
      </c>
      <c r="D141" s="6" t="s">
        <v>386</v>
      </c>
      <c r="E141">
        <v>18.0</v>
      </c>
      <c r="F141" t="s">
        <v>63</v>
      </c>
      <c r="G141" t="s">
        <v>64</v>
      </c>
    </row>
    <row r="142" customHeight="1" ht="14.0">
      <c r="A142">
        <v>20.0</v>
      </c>
      <c r="B142" s="6" t="s">
        <v>387</v>
      </c>
      <c r="C142" s="6" t="s">
        <v>388</v>
      </c>
      <c r="D142" s="6" t="s">
        <v>389</v>
      </c>
      <c r="E142">
        <v>16.0</v>
      </c>
      <c r="F142" t="s">
        <v>63</v>
      </c>
      <c r="G142" t="s">
        <v>64</v>
      </c>
    </row>
    <row r="143" customHeight="1" ht="14.0">
      <c r="A143">
        <v>21.0</v>
      </c>
      <c r="B143" s="6" t="s">
        <v>390</v>
      </c>
      <c r="C143" s="6" t="s">
        <v>391</v>
      </c>
      <c r="D143" s="6" t="s">
        <v>392</v>
      </c>
      <c r="E143">
        <v>10.0</v>
      </c>
      <c r="F143" t="s">
        <v>63</v>
      </c>
      <c r="G143" t="s">
        <v>64</v>
      </c>
    </row>
    <row r="144" customHeight="1" ht="14.0">
      <c r="A144">
        <v>22.0</v>
      </c>
      <c r="B144" s="6" t="s">
        <v>393</v>
      </c>
      <c r="C144" s="6" t="s">
        <v>394</v>
      </c>
      <c r="D144" s="6" t="s">
        <v>395</v>
      </c>
      <c r="E144">
        <v>10.0</v>
      </c>
      <c r="F144" t="s">
        <v>63</v>
      </c>
      <c r="G144" t="s">
        <v>64</v>
      </c>
    </row>
    <row r="145" customHeight="1" ht="14.0">
      <c r="A145">
        <v>23.0</v>
      </c>
      <c r="B145" s="6" t="s">
        <v>396</v>
      </c>
      <c r="C145" s="6" t="s">
        <v>397</v>
      </c>
      <c r="D145" s="6" t="s">
        <v>244</v>
      </c>
      <c r="E145">
        <v>16.0</v>
      </c>
      <c r="F145" t="s">
        <v>63</v>
      </c>
      <c r="G145" t="s">
        <v>64</v>
      </c>
    </row>
    <row r="146" customHeight="1" ht="14.0">
      <c r="A146">
        <v>24.0</v>
      </c>
      <c r="B146" s="6" t="s">
        <v>398</v>
      </c>
      <c r="C146" s="6" t="s">
        <v>399</v>
      </c>
      <c r="D146" s="6" t="s">
        <v>400</v>
      </c>
      <c r="E146">
        <v>14.0</v>
      </c>
      <c r="F146" t="s">
        <v>63</v>
      </c>
      <c r="G146" t="s">
        <v>64</v>
      </c>
    </row>
    <row r="147" customHeight="1" ht="14.0">
      <c r="A147">
        <v>25.0</v>
      </c>
      <c r="B147" s="6" t="s">
        <v>401</v>
      </c>
      <c r="C147" s="6" t="s">
        <v>402</v>
      </c>
      <c r="D147" s="6" t="s">
        <v>403</v>
      </c>
      <c r="E147">
        <v>6.0</v>
      </c>
      <c r="F147" t="s">
        <v>63</v>
      </c>
      <c r="G147" t="s">
        <v>64</v>
      </c>
    </row>
    <row r="148" customHeight="1" ht="14.0">
      <c r="A148">
        <v>26.0</v>
      </c>
      <c r="B148" s="6" t="s">
        <v>404</v>
      </c>
      <c r="C148" s="6" t="s">
        <v>405</v>
      </c>
      <c r="D148" s="6" t="s">
        <v>406</v>
      </c>
      <c r="E148">
        <v>14.0</v>
      </c>
      <c r="F148" t="s">
        <v>63</v>
      </c>
      <c r="G148" t="s">
        <v>222</v>
      </c>
    </row>
    <row r="149" customHeight="1" ht="14.0">
      <c r="A149">
        <v>27.0</v>
      </c>
      <c r="B149" s="6" t="s">
        <v>407</v>
      </c>
      <c r="C149" s="6" t="s">
        <v>408</v>
      </c>
      <c r="D149" s="6" t="s">
        <v>409</v>
      </c>
      <c r="E149">
        <v>12.0</v>
      </c>
      <c r="F149" t="s">
        <v>63</v>
      </c>
      <c r="G149" t="s">
        <v>222</v>
      </c>
    </row>
    <row r="150" customHeight="1" ht="14.0">
      <c r="A150">
        <v>28.0</v>
      </c>
      <c r="B150" s="6" t="s">
        <v>410</v>
      </c>
      <c r="C150" s="6" t="s">
        <v>411</v>
      </c>
      <c r="D150" s="6" t="s">
        <v>234</v>
      </c>
      <c r="E150">
        <v>8.0</v>
      </c>
      <c r="F150" t="s">
        <v>63</v>
      </c>
      <c r="G150" t="s">
        <v>222</v>
      </c>
    </row>
    <row r="151" customHeight="1" ht="14.0">
      <c r="A151">
        <v>29.0</v>
      </c>
      <c r="B151" s="6" t="s">
        <v>412</v>
      </c>
      <c r="C151" s="6" t="s">
        <v>413</v>
      </c>
      <c r="D151" s="6" t="s">
        <v>414</v>
      </c>
      <c r="E151">
        <v>12.0</v>
      </c>
      <c r="F151" t="s">
        <v>63</v>
      </c>
      <c r="G151" t="s">
        <v>222</v>
      </c>
    </row>
    <row r="152" customHeight="1" ht="14.0">
      <c r="A152">
        <v>30.0</v>
      </c>
      <c r="B152" s="6" t="s">
        <v>415</v>
      </c>
      <c r="C152" s="6" t="s">
        <v>416</v>
      </c>
      <c r="D152" s="6" t="s">
        <v>240</v>
      </c>
      <c r="E152">
        <v>6.0</v>
      </c>
      <c r="F152" t="s">
        <v>63</v>
      </c>
      <c r="G152" t="s">
        <v>222</v>
      </c>
    </row>
    <row r="153" customHeight="1" ht="14.0">
      <c r="A153">
        <v>31.0</v>
      </c>
      <c r="B153" s="6" t="s">
        <v>417</v>
      </c>
      <c r="C153" s="6" t="s">
        <v>418</v>
      </c>
      <c r="D153" s="6" t="s">
        <v>409</v>
      </c>
      <c r="E153">
        <v>10.0</v>
      </c>
      <c r="F153" t="s">
        <v>63</v>
      </c>
      <c r="G153" t="s">
        <v>222</v>
      </c>
    </row>
    <row r="154" customHeight="1" ht="14.0">
      <c r="A154">
        <v>32.0</v>
      </c>
      <c r="B154" s="6" t="s">
        <v>419</v>
      </c>
      <c r="C154" s="6" t="s">
        <v>420</v>
      </c>
      <c r="D154" s="6" t="s">
        <v>421</v>
      </c>
      <c r="E154">
        <v>8.0</v>
      </c>
      <c r="F154" t="s">
        <v>63</v>
      </c>
      <c r="G154" t="s">
        <v>222</v>
      </c>
    </row>
    <row r="155" customHeight="1" ht="14.0">
      <c r="A155">
        <v>33.0</v>
      </c>
      <c r="B155" s="6" t="s">
        <v>422</v>
      </c>
      <c r="C155" s="6" t="s">
        <v>423</v>
      </c>
      <c r="D155" s="6" t="s">
        <v>273</v>
      </c>
      <c r="E155">
        <v>8.0</v>
      </c>
      <c r="F155" t="s">
        <v>63</v>
      </c>
      <c r="G155" t="s">
        <v>222</v>
      </c>
    </row>
    <row r="156" customHeight="1" ht="14.0">
      <c r="A156">
        <v>34.0</v>
      </c>
      <c r="B156" s="6" t="s">
        <v>424</v>
      </c>
      <c r="C156" s="6" t="s">
        <v>425</v>
      </c>
      <c r="D156" s="6" t="s">
        <v>426</v>
      </c>
      <c r="E156">
        <v>8.0</v>
      </c>
      <c r="F156" t="s">
        <v>63</v>
      </c>
      <c r="G156" t="s">
        <v>254</v>
      </c>
    </row>
    <row r="157" customHeight="1" ht="14.0">
      <c r="A157">
        <v>35.0</v>
      </c>
      <c r="B157" s="6" t="s">
        <v>263</v>
      </c>
      <c r="C157" s="6" t="s">
        <v>427</v>
      </c>
      <c r="D157" s="6" t="s">
        <v>428</v>
      </c>
      <c r="E157">
        <v>12.0</v>
      </c>
      <c r="F157" t="s">
        <v>63</v>
      </c>
      <c r="G157" t="s">
        <v>254</v>
      </c>
    </row>
    <row r="158" customHeight="1" ht="14.0">
      <c r="A158">
        <v>36.0</v>
      </c>
      <c r="B158" s="6" t="s">
        <v>266</v>
      </c>
      <c r="C158" s="6" t="s">
        <v>429</v>
      </c>
      <c r="D158" s="6" t="s">
        <v>268</v>
      </c>
      <c r="E158">
        <v>12.0</v>
      </c>
      <c r="F158" t="s">
        <v>63</v>
      </c>
      <c r="G158" t="s">
        <v>254</v>
      </c>
    </row>
    <row r="159" customHeight="1" ht="14.0">
      <c r="A159">
        <v>37.0</v>
      </c>
      <c r="B159" s="6" t="s">
        <v>430</v>
      </c>
      <c r="C159" s="6" t="s">
        <v>431</v>
      </c>
      <c r="D159" s="6" t="s">
        <v>432</v>
      </c>
      <c r="E159">
        <v>6.0</v>
      </c>
      <c r="F159" t="s">
        <v>63</v>
      </c>
      <c r="G159" t="s">
        <v>254</v>
      </c>
    </row>
    <row r="160" customHeight="1" ht="14.0">
      <c r="A160">
        <v>38.0</v>
      </c>
      <c r="B160" s="6" t="s">
        <v>433</v>
      </c>
      <c r="C160" s="6" t="s">
        <v>434</v>
      </c>
      <c r="D160" s="6" t="s">
        <v>273</v>
      </c>
      <c r="E160">
        <v>8.0</v>
      </c>
      <c r="F160" t="s">
        <v>63</v>
      </c>
      <c r="G160" t="s">
        <v>254</v>
      </c>
    </row>
    <row r="161" customHeight="1" ht="14.0">
      <c r="A161">
        <v>39.0</v>
      </c>
      <c r="B161" s="6" t="s">
        <v>435</v>
      </c>
      <c r="C161" s="6" t="s">
        <v>436</v>
      </c>
      <c r="D161" s="6" t="s">
        <v>400</v>
      </c>
      <c r="E161">
        <v>8.0</v>
      </c>
      <c r="F161" t="s">
        <v>63</v>
      </c>
      <c r="G161" t="s">
        <v>279</v>
      </c>
    </row>
    <row r="162" customHeight="1" ht="14.0">
      <c r="A162">
        <v>40.0</v>
      </c>
      <c r="B162" s="6" t="s">
        <v>437</v>
      </c>
      <c r="C162" s="6" t="s">
        <v>438</v>
      </c>
      <c r="D162" s="6" t="s">
        <v>428</v>
      </c>
      <c r="E162">
        <v>6.0</v>
      </c>
      <c r="F162" t="s">
        <v>63</v>
      </c>
      <c r="G162" t="s">
        <v>279</v>
      </c>
    </row>
    <row r="163" customHeight="1" ht="14.0">
      <c r="A163">
        <v>41.0</v>
      </c>
      <c r="B163" s="6" t="s">
        <v>439</v>
      </c>
      <c r="C163" s="6" t="s">
        <v>440</v>
      </c>
      <c r="D163" s="6" t="s">
        <v>247</v>
      </c>
      <c r="E163">
        <v>10.0</v>
      </c>
      <c r="F163" t="s">
        <v>63</v>
      </c>
      <c r="G163" t="s">
        <v>279</v>
      </c>
    </row>
    <row r="164" customHeight="1" ht="14.0">
      <c r="E164">
        <f>SUM(E123:E163)</f>
        <v>488.0</v>
      </c>
    </row>
    <row r="165" customHeight="1" ht="14.0">
      <c r="E165">
        <v>1133.0</v>
      </c>
    </row>
    <row r="166" customHeight="1" ht="14.0">
      <c r="E166">
        <f>E164+E165</f>
        <v>1621.0</v>
      </c>
      <c r="F166">
        <f>E166*117</f>
        <v>189657.0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2026-04-23T10:21:02Z</dcterms:created>
</cp:coreProperties>
</file>