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Portal Users" sheetId="4" state="visible" r:id="rId4"/>
    <sheet xmlns:r="http://schemas.openxmlformats.org/officeDocument/2006/relationships" name="Submission Readiness" sheetId="5" state="visible" r:id="rId5"/>
    <sheet xmlns:r="http://schemas.openxmlformats.org/officeDocument/2006/relationships" name="Picklists" sheetId="6" state="hidden" r:id="rId6"/>
  </sheets>
  <definedNames>
    <definedName name="Firms">Picklists!$A$2:$A$6</definedName>
    <definedName name="Clients">Picklists!$B$2:$B$8</definedName>
    <definedName name="Investigators">Picklists!$C$2:$C$18</definedName>
    <definedName name="InstructionStatus">Picklists!$D$2:$D$5</definedName>
    <definedName name="InstructionType">Picklists!$E$2:$E$21</definedName>
    <definedName name="YesNo">Picklists!$F$2:$F$3</definedName>
    <definedName name="CouncilMethod">Picklists!$G$2:$G$4</definedName>
    <definedName name="CouncilResponse">Picklists!$H$2:$H$4</definedName>
    <definedName name="ActivatePortal">Picklists!$I$2:$I$3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i val="1"/>
      <color rgb="002E5395"/>
      <sz val="12"/>
    </font>
    <font>
      <name val="Calibri"/>
      <b val="1"/>
      <color rgb="001F3864"/>
      <sz val="14"/>
    </font>
    <font>
      <name val="Calibri"/>
      <sz val="11"/>
    </font>
    <font>
      <name val="Calibri"/>
      <b val="1"/>
      <sz val="11"/>
    </font>
    <font>
      <name val="Calibri"/>
      <b val="1"/>
      <color rgb="001F3864"/>
      <sz val="10"/>
    </font>
    <font>
      <name val="Calibri"/>
      <b val="1"/>
      <color rgb="00FFFFFF"/>
      <sz val="11"/>
    </font>
    <font>
      <name val="Calibri"/>
      <b val="1"/>
      <color rgb="00C00000"/>
      <sz val="11"/>
    </font>
    <font>
      <name val="Calibri"/>
      <i val="1"/>
      <color rgb="00595959"/>
      <sz val="9"/>
    </font>
    <font>
      <name val="Calibri"/>
      <color rgb="00305496"/>
      <sz val="10"/>
    </font>
    <font>
      <name val="Calibri"/>
      <i val="1"/>
      <color rgb="00595959"/>
      <sz val="10"/>
    </font>
    <font>
      <name val="Calibri"/>
      <b val="1"/>
      <color rgb="00FFFFFF"/>
      <sz val="20"/>
    </font>
  </fonts>
  <fills count="12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59595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5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CE4E4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1F3864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110" customWidth="1" min="2" max="2"/>
    <col width="4" customWidth="1" min="3" max="3"/>
  </cols>
  <sheetData>
    <row r="2" ht="36" customHeight="1">
      <c r="B2" s="1" t="inlineStr">
        <is>
          <t>ID Inquiries Migration — Data Collection Template</t>
        </is>
      </c>
    </row>
    <row r="3">
      <c r="B3" s="2" t="inlineStr">
        <is>
          <t>Project #4593   |   Version 5.1   |   April 2026   |   Prepared by A2Z Cloud</t>
        </is>
      </c>
    </row>
    <row r="5">
      <c r="B5" s="3" t="inlineStr">
        <is>
          <t>Welcome</t>
        </is>
      </c>
    </row>
    <row r="6" ht="50" customHeight="1">
      <c r="B6" s="4" t="inlineStr">
        <is>
          <t>This single workbook captures everything we need to migrate ID Inquiries' active instructions into the new Zoho CRM. You only need to fill in two tabs — Instructions and Portal Users — and check the Submission Readiness tab tells you when the file is ready to send back.</t>
        </is>
      </c>
    </row>
    <row r="8">
      <c r="B8" s="3" t="inlineStr">
        <is>
          <t>How to use this file</t>
        </is>
      </c>
    </row>
    <row r="10" ht="30" customHeight="1">
      <c r="B10" s="4" t="inlineStr">
        <is>
          <t>Step 1 — Read the Guide tab — it explains every column and what's required.</t>
        </is>
      </c>
    </row>
    <row r="12" ht="30" customHeight="1">
      <c r="B12" s="4" t="inlineStr">
        <is>
          <t>Step 2 — Go to the Instructions tab and fill one row per active instruction. Required cells turn red if left blank.</t>
        </is>
      </c>
    </row>
    <row r="14" ht="30" customHeight="1">
      <c r="B14" s="4" t="inlineStr">
        <is>
          <t>Step 3 — Fill the Portal Users tab if you have client portal users to set up. (Optional — you can do this later.)</t>
        </is>
      </c>
    </row>
    <row r="16" ht="30" customHeight="1">
      <c r="B16" s="4" t="inlineStr">
        <is>
          <t>Step 4 — Open the Submission Readiness tab. When it shows READY TO SEND: YES, email this file back to A2Z Cloud.</t>
        </is>
      </c>
    </row>
    <row r="19">
      <c r="B19" s="3" t="inlineStr">
        <is>
          <t>Status legend</t>
        </is>
      </c>
    </row>
    <row r="21" ht="22" customHeight="1">
      <c r="B21" s="5" t="inlineStr">
        <is>
          <t xml:space="preserve">  ✓ Ready    Row is fully valid and will import cleanly.</t>
        </is>
      </c>
    </row>
    <row r="22" ht="22" customHeight="1">
      <c r="B22" s="6" t="inlineStr">
        <is>
          <t xml:space="preserve">  ! Incomplete    Required cells are empty — see the Missing Fields column.</t>
        </is>
      </c>
    </row>
    <row r="23" ht="22" customHeight="1">
      <c r="B23" s="7" t="inlineStr">
        <is>
          <t xml:space="preserve">  × Other pick    You picked 'Other – advise A2Z Cloud' — flag for our team.</t>
        </is>
      </c>
    </row>
    <row r="26">
      <c r="B26" s="3" t="inlineStr">
        <is>
          <t>Contact</t>
        </is>
      </c>
    </row>
    <row r="27">
      <c r="B27" s="8" t="inlineStr">
        <is>
          <t>Sam — A2Z Cloud, Zoho Development Team</t>
        </is>
      </c>
    </row>
    <row r="28">
      <c r="B28" s="8" t="inlineStr">
        <is>
          <t>Project #4593 — ID Inquiries Ltd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28" customWidth="1" min="2" max="2"/>
    <col width="80" customWidth="1" min="3" max="3"/>
  </cols>
  <sheetData>
    <row r="2">
      <c r="B2" s="9" t="inlineStr">
        <is>
          <t>How to fill this template</t>
        </is>
      </c>
    </row>
    <row r="4" ht="26" customHeight="1">
      <c r="B4" s="10" t="inlineStr">
        <is>
          <t>Required vs optional</t>
        </is>
      </c>
      <c r="C4" s="4" t="inlineStr">
        <is>
          <t>Columns marked with * in the header (and shown in red) are required for every row. Columns without * are optional.</t>
        </is>
      </c>
    </row>
    <row r="6" ht="36" customHeight="1">
      <c r="B6" s="10" t="inlineStr">
        <is>
          <t>Conditionally required</t>
        </is>
      </c>
      <c r="C6" s="4" t="inlineStr">
        <is>
          <t>If Instruction Status = Allocated, then Investigator Assigned + Date Assigned are required for that row.
If Council Response = Yes, then Licence Check Notes are required for that row.</t>
        </is>
      </c>
    </row>
    <row r="8" ht="26" customHeight="1">
      <c r="B8" s="10" t="inlineStr">
        <is>
          <t>Dropdowns (▼ icon)</t>
        </is>
      </c>
      <c r="C8" s="4" t="inlineStr">
        <is>
          <t>Click the cell, then click the dropdown arrow that appears, and pick a value. Don't type values — typed values will be flagged as invalid in the Submission Readiness tab.</t>
        </is>
      </c>
    </row>
    <row r="10" ht="26" customHeight="1">
      <c r="B10" s="10" t="inlineStr">
        <is>
          <t>'Other – advise A2Z Cloud'</t>
        </is>
      </c>
      <c r="C10" s="4" t="inlineStr">
        <is>
          <t>If a firm, client, or investigator isn't in the dropdown, pick this option and write a comment in the next column. We'll add the missing record before importing.</t>
        </is>
      </c>
    </row>
    <row r="12" ht="26" customHeight="1">
      <c r="B12" s="10" t="inlineStr">
        <is>
          <t>Dates</t>
        </is>
      </c>
      <c r="C12" s="4" t="inlineStr">
        <is>
          <t>Type dates as DD/MM/YYYY (e.g. 16/05/2024). The cell format is locked to date — Excel may reformat your input.</t>
        </is>
      </c>
    </row>
    <row r="14" ht="26" customHeight="1">
      <c r="B14" s="10" t="inlineStr">
        <is>
          <t>'Basic' instruction type</t>
        </is>
      </c>
      <c r="C14" s="4" t="inlineStr">
        <is>
          <t>The old extract used 'Basic' as a catch-all. The new template requires you to pick the actual venue type (Pub/Bar – background, Restaurant//Café, etc.) from the dropdown — this matches what the CRM expects.</t>
        </is>
      </c>
    </row>
    <row r="16" ht="26" customHeight="1">
      <c r="B16" s="10" t="inlineStr">
        <is>
          <t>Blank cells</t>
        </is>
      </c>
      <c r="C16" s="4" t="inlineStr">
        <is>
          <t>Leave optional cells genuinely empty. Don't type 'N/A', 'None', or '-'. The validation treats those as valid values and they'll end up in the CRM.</t>
        </is>
      </c>
    </row>
    <row r="18" ht="26" customHeight="1">
      <c r="B18" s="10" t="inlineStr">
        <is>
          <t>Submission Readiness</t>
        </is>
      </c>
      <c r="C18" s="4" t="inlineStr">
        <is>
          <t>Open this tab any time to see how many rows are ready, what's missing, and whether you can send the file back. It updates automatically as you fill rows.</t>
        </is>
      </c>
    </row>
    <row r="20" ht="26" customHeight="1">
      <c r="B20" s="10" t="inlineStr">
        <is>
          <t>When you're done</t>
        </is>
      </c>
      <c r="C20" s="4" t="inlineStr">
        <is>
          <t>Submission Readiness shows READY TO SEND: YES → email the file back to Sam at A2Z Cloud.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30" customWidth="1" min="2" max="2"/>
    <col width="16" customWidth="1" min="3" max="3"/>
    <col width="16" customWidth="1" min="4" max="4"/>
    <col width="11" customWidth="1" min="5" max="5"/>
    <col width="26" customWidth="1" min="6" max="6"/>
    <col width="24" customWidth="1" min="7" max="7"/>
    <col width="22" customWidth="1" min="8" max="8"/>
    <col width="18" customWidth="1" min="9" max="9"/>
    <col width="22" customWidth="1" min="10" max="10"/>
    <col width="28" customWidth="1" min="11" max="11"/>
    <col width="18" customWidth="1" min="12" max="12"/>
    <col width="14" customWidth="1" min="13" max="13"/>
    <col width="22" customWidth="1" min="14" max="14"/>
    <col width="12" customWidth="1" min="15" max="15"/>
    <col width="36" customWidth="1" min="16" max="16"/>
    <col width="22" customWidth="1" min="17" max="17"/>
    <col width="14" customWidth="1" min="18" max="18"/>
    <col width="22" customWidth="1" min="19" max="19"/>
    <col width="14" customWidth="1" min="20" max="20"/>
    <col width="18" customWidth="1" min="21" max="21"/>
    <col width="36" customWidth="1" min="22" max="22"/>
    <col width="14" customWidth="1" min="23" max="23"/>
    <col width="40" customWidth="1" min="24" max="24"/>
  </cols>
  <sheetData>
    <row r="1" ht="24" customHeight="1">
      <c r="A1" s="11" t="inlineStr">
        <is>
          <t>PREMISES</t>
        </is>
      </c>
      <c r="I1" s="12" t="inlineStr">
        <is>
          <t>INSTRUCTION</t>
        </is>
      </c>
      <c r="Q1" s="13" t="inlineStr">
        <is>
          <t>INVESTIGATOR</t>
        </is>
      </c>
      <c r="S1" s="14" t="inlineStr">
        <is>
          <t>LICENCE CHECK</t>
        </is>
      </c>
      <c r="W1" s="15" t="inlineStr">
        <is>
          <t>DIAGNOSTICS</t>
        </is>
      </c>
    </row>
    <row r="2" ht="32" customHeight="1">
      <c r="A2" s="16" t="inlineStr">
        <is>
          <t>Premises Name *</t>
        </is>
      </c>
      <c r="B2" s="16" t="inlineStr">
        <is>
          <t>Street Address *</t>
        </is>
      </c>
      <c r="C2" s="16" t="inlineStr">
        <is>
          <t>City *</t>
        </is>
      </c>
      <c r="D2" s="17" t="inlineStr">
        <is>
          <t>County</t>
        </is>
      </c>
      <c r="E2" s="16" t="inlineStr">
        <is>
          <t>Postcode *</t>
        </is>
      </c>
      <c r="F2" s="16" t="inlineStr">
        <is>
          <t>Licensing Authority *</t>
        </is>
      </c>
      <c r="G2" s="17" t="inlineStr">
        <is>
          <t>Premises Licence Holder</t>
        </is>
      </c>
      <c r="H2" s="17" t="inlineStr">
        <is>
          <t>DPS</t>
        </is>
      </c>
      <c r="I2" s="16" t="inlineStr">
        <is>
          <t>Instruction Status *</t>
        </is>
      </c>
      <c r="J2" s="16" t="inlineStr">
        <is>
          <t>Instructing Company *</t>
        </is>
      </c>
      <c r="K2" s="16" t="inlineStr">
        <is>
          <t>Instructing Client *</t>
        </is>
      </c>
      <c r="L2" s="17" t="inlineStr">
        <is>
          <t>Client Ref</t>
        </is>
      </c>
      <c r="M2" s="16" t="inlineStr">
        <is>
          <t>Date of Instruction *</t>
        </is>
      </c>
      <c r="N2" s="16" t="inlineStr">
        <is>
          <t>Instruction Type *</t>
        </is>
      </c>
      <c r="O2" s="16" t="inlineStr">
        <is>
          <t>Is Reinstruction? *</t>
        </is>
      </c>
      <c r="P2" s="17" t="inlineStr">
        <is>
          <t>Instruction Notes</t>
        </is>
      </c>
      <c r="Q2" s="17" t="inlineStr">
        <is>
          <t>Investigator Assigned</t>
        </is>
      </c>
      <c r="R2" s="17" t="inlineStr">
        <is>
          <t>Date Assigned</t>
        </is>
      </c>
      <c r="S2" s="17" t="inlineStr">
        <is>
          <t>Council Request Method</t>
        </is>
      </c>
      <c r="T2" s="17" t="inlineStr">
        <is>
          <t>Council Request Date</t>
        </is>
      </c>
      <c r="U2" s="17" t="inlineStr">
        <is>
          <t>Council Response?</t>
        </is>
      </c>
      <c r="V2" s="17" t="inlineStr">
        <is>
          <t>Licence Check Notes</t>
        </is>
      </c>
      <c r="W2" s="17" t="inlineStr">
        <is>
          <t>Row Status</t>
        </is>
      </c>
      <c r="X2" s="17" t="inlineStr">
        <is>
          <t>Missing Fields</t>
        </is>
      </c>
    </row>
    <row r="3" ht="50" customHeight="1">
      <c r="A3" s="18" t="inlineStr">
        <is>
          <t>Name of the licensed venue exactly as on the licence.</t>
        </is>
      </c>
      <c r="B3" s="18" t="inlineStr">
        <is>
          <t>Full street address (was missing in test extract — please backfill).</t>
        </is>
      </c>
      <c r="C3" s="18" t="inlineStr">
        <is>
          <t>Town or city.</t>
        </is>
      </c>
      <c r="D3" s="18" t="inlineStr">
        <is>
          <t>County (optional).</t>
        </is>
      </c>
      <c r="E3" s="18" t="inlineStr">
        <is>
          <t>Full UK postcode.</t>
        </is>
      </c>
      <c r="F3" s="18" t="inlineStr">
        <is>
          <t>Council that issued the licence (was missing in test extract — please backfill).</t>
        </is>
      </c>
      <c r="G3" s="18" t="inlineStr">
        <is>
          <t>Legal entity holding the premises licence.</t>
        </is>
      </c>
      <c r="H3" s="18" t="inlineStr">
        <is>
          <t>Designated Premises Supervisor full name.</t>
        </is>
      </c>
      <c r="I3" s="18" t="inlineStr">
        <is>
          <t>▼ Current status of this instruction.</t>
        </is>
      </c>
      <c r="J3" s="18" t="inlineStr">
        <is>
          <t>▼ Law firm. Pick 'Other' if not listed.</t>
        </is>
      </c>
      <c r="K3" s="18" t="inlineStr">
        <is>
          <t>▼ Individual lawyer (firm shown in brackets).</t>
        </is>
      </c>
      <c r="L3" s="18" t="inlineStr">
        <is>
          <t>Client's own reference number.</t>
        </is>
      </c>
      <c r="M3" s="18" t="inlineStr">
        <is>
          <t>Date instruction received. DD/MM/YYYY.</t>
        </is>
      </c>
      <c r="N3" s="18" t="inlineStr">
        <is>
          <t>▼ Venue type closest to this premises. (Replaces 'Basic'.)</t>
        </is>
      </c>
      <c r="O3" s="18" t="inlineStr">
        <is>
          <t>▼ Repeat visit to same premises?</t>
        </is>
      </c>
      <c r="P3" s="18" t="inlineStr">
        <is>
          <t>Special instructions for the investigator — copy from your source notes.</t>
        </is>
      </c>
      <c r="Q3" s="18" t="inlineStr">
        <is>
          <t>▼ Required IF Status = Allocated. Leave blank otherwise.</t>
        </is>
      </c>
      <c r="R3" s="18" t="inlineStr">
        <is>
          <t>Required IF Status = Allocated. DD/MM/YYYY.</t>
        </is>
      </c>
      <c r="S3" s="18" t="inlineStr">
        <is>
          <t>▼ How licence details were requested.</t>
        </is>
      </c>
      <c r="T3" s="18" t="inlineStr">
        <is>
          <t>Date council was contacted. DD/MM/YYYY.</t>
        </is>
      </c>
      <c r="U3" s="18" t="inlineStr">
        <is>
          <t>▼ Has the council responded?</t>
        </is>
      </c>
      <c r="V3" s="18" t="inlineStr">
        <is>
          <t>Required IF Council Response = Yes.</t>
        </is>
      </c>
      <c r="W3" s="18" t="inlineStr">
        <is>
          <t>Auto-calculated.</t>
        </is>
      </c>
      <c r="X3" s="18" t="inlineStr">
        <is>
          <t>Auto-calculated. Lists what's missing.</t>
        </is>
      </c>
    </row>
    <row r="4" ht="20" customHeight="1">
      <c r="A4" s="19" t="inlineStr">
        <is>
          <t>The Swan Inn</t>
        </is>
      </c>
      <c r="B4" s="19" t="inlineStr">
        <is>
          <t>14 Greengate Street</t>
        </is>
      </c>
      <c r="C4" s="19" t="inlineStr">
        <is>
          <t>Stafford</t>
        </is>
      </c>
      <c r="D4" s="19" t="inlineStr">
        <is>
          <t>Staffordshire</t>
        </is>
      </c>
      <c r="E4" s="19" t="inlineStr">
        <is>
          <t>ST16 3RW</t>
        </is>
      </c>
      <c r="F4" s="19" t="inlineStr">
        <is>
          <t>Staffordshire County Council</t>
        </is>
      </c>
      <c r="G4" s="19" t="inlineStr">
        <is>
          <t>Trust Inns Ltd</t>
        </is>
      </c>
      <c r="H4" s="19" t="inlineStr">
        <is>
          <t>Edward Paul Bolton</t>
        </is>
      </c>
      <c r="I4" s="19" t="inlineStr">
        <is>
          <t>On Hold</t>
        </is>
      </c>
      <c r="J4" s="19" t="inlineStr">
        <is>
          <t>Hamlins LLP</t>
        </is>
      </c>
      <c r="K4" s="19" t="inlineStr">
        <is>
          <t>Michael Green (Hamlins LLP)</t>
        </is>
      </c>
      <c r="L4" s="19" t="inlineStr">
        <is>
          <t>591/PPLPRS1734</t>
        </is>
      </c>
      <c r="M4" s="19" t="inlineStr">
        <is>
          <t>02/05/2024</t>
        </is>
      </c>
      <c r="N4" s="19" t="inlineStr">
        <is>
          <t>Pub/Bar – background</t>
        </is>
      </c>
      <c r="O4" s="19" t="inlineStr">
        <is>
          <t>No</t>
        </is>
      </c>
      <c r="P4" s="19" t="inlineStr">
        <is>
          <t>Confirm Licensee and DPS. Attempt to obtain bank details.</t>
        </is>
      </c>
      <c r="Q4" s="19" t="inlineStr">
        <is>
          <t>Gary Hall</t>
        </is>
      </c>
      <c r="R4" s="19" t="inlineStr">
        <is>
          <t>16/05/2024</t>
        </is>
      </c>
      <c r="S4" s="19" t="inlineStr">
        <is>
          <t>Public Register Online</t>
        </is>
      </c>
      <c r="T4" s="19" t="inlineStr">
        <is>
          <t>07/05/2024</t>
        </is>
      </c>
      <c r="U4" s="19" t="inlineStr">
        <is>
          <t>Yes</t>
        </is>
      </c>
      <c r="V4" s="19" t="inlineStr">
        <is>
          <t>Email from Michael asking to put on hold — linked premises found.</t>
        </is>
      </c>
      <c r="W4" s="19" t="inlineStr"/>
      <c r="X4" s="19" t="inlineStr"/>
    </row>
    <row r="5" ht="22" customHeight="1">
      <c r="A5" s="20" t="inlineStr">
        <is>
          <t>▶  Row 4 is an EXAMPLE — leave it as a reference. Start filling your real data from row 6 below.</t>
        </is>
      </c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2">
        <f>IF(A6="","",IF(OR(A6="",B6="",C6="",E6="",F6="",I6="",J6="",K6="",M6="",N6="",O6="",AND(I6="Allocated",OR(Q6="",R6="")),AND(U6="Yes",V6="")),"Incomplete","Ready"))</f>
        <v/>
      </c>
      <c r="X6" s="23">
        <f>IF(W6&lt;&gt;"Incomplete","",SUBSTITUTE(IF(B6="",", Street Address","")&amp;IF(C6="",", City","")&amp;IF(E6="",", Postcode","")&amp;IF(F6="",", Licensing Authority","")&amp;IF(I6="",", Status","")&amp;IF(J6="",", Firm","")&amp;IF(K6="",", Client","")&amp;IF(M6="",", Date of Instruction","")&amp;IF(N6="",", Instruction Type","")&amp;IF(O6="",", Reinstruction","")&amp;IF(AND(I6="Allocated",Q6=""),", Investigator","")&amp;IF(AND(I6="Allocated",R6=""),", Date Assigned","")&amp;IF(AND(U6="Yes",V6=""),", Licence Check Notes",""),", ","",1))</f>
        <v/>
      </c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2">
        <f>IF(A7="","",IF(OR(A7="",B7="",C7="",E7="",F7="",I7="",J7="",K7="",M7="",N7="",O7="",AND(I7="Allocated",OR(Q7="",R7="")),AND(U7="Yes",V7="")),"Incomplete","Ready"))</f>
        <v/>
      </c>
      <c r="X7" s="23">
        <f>IF(W7&lt;&gt;"Incomplete","",SUBSTITUTE(IF(B7="",", Street Address","")&amp;IF(C7="",", City","")&amp;IF(E7="",", Postcode","")&amp;IF(F7="",", Licensing Authority","")&amp;IF(I7="",", Status","")&amp;IF(J7="",", Firm","")&amp;IF(K7="",", Client","")&amp;IF(M7="",", Date of Instruction","")&amp;IF(N7="",", Instruction Type","")&amp;IF(O7="",", Reinstruction","")&amp;IF(AND(I7="Allocated",Q7=""),", Investigator","")&amp;IF(AND(I7="Allocated",R7=""),", Date Assigned","")&amp;IF(AND(U7="Yes",V7=""),", Licence Check Notes",""),", ","",1))</f>
        <v/>
      </c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2">
        <f>IF(A8="","",IF(OR(A8="",B8="",C8="",E8="",F8="",I8="",J8="",K8="",M8="",N8="",O8="",AND(I8="Allocated",OR(Q8="",R8="")),AND(U8="Yes",V8="")),"Incomplete","Ready"))</f>
        <v/>
      </c>
      <c r="X8" s="23">
        <f>IF(W8&lt;&gt;"Incomplete","",SUBSTITUTE(IF(B8="",", Street Address","")&amp;IF(C8="",", City","")&amp;IF(E8="",", Postcode","")&amp;IF(F8="",", Licensing Authority","")&amp;IF(I8="",", Status","")&amp;IF(J8="",", Firm","")&amp;IF(K8="",", Client","")&amp;IF(M8="",", Date of Instruction","")&amp;IF(N8="",", Instruction Type","")&amp;IF(O8="",", Reinstruction","")&amp;IF(AND(I8="Allocated",Q8=""),", Investigator","")&amp;IF(AND(I8="Allocated",R8=""),", Date Assigned","")&amp;IF(AND(U8="Yes",V8=""),", Licence Check Notes",""),", ","",1))</f>
        <v/>
      </c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2">
        <f>IF(A9="","",IF(OR(A9="",B9="",C9="",E9="",F9="",I9="",J9="",K9="",M9="",N9="",O9="",AND(I9="Allocated",OR(Q9="",R9="")),AND(U9="Yes",V9="")),"Incomplete","Ready"))</f>
        <v/>
      </c>
      <c r="X9" s="23">
        <f>IF(W9&lt;&gt;"Incomplete","",SUBSTITUTE(IF(B9="",", Street Address","")&amp;IF(C9="",", City","")&amp;IF(E9="",", Postcode","")&amp;IF(F9="",", Licensing Authority","")&amp;IF(I9="",", Status","")&amp;IF(J9="",", Firm","")&amp;IF(K9="",", Client","")&amp;IF(M9="",", Date of Instruction","")&amp;IF(N9="",", Instruction Type","")&amp;IF(O9="",", Reinstruction","")&amp;IF(AND(I9="Allocated",Q9=""),", Investigator","")&amp;IF(AND(I9="Allocated",R9=""),", Date Assigned","")&amp;IF(AND(U9="Yes",V9=""),", Licence Check Notes",""),", ","",1))</f>
        <v/>
      </c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2">
        <f>IF(A10="","",IF(OR(A10="",B10="",C10="",E10="",F10="",I10="",J10="",K10="",M10="",N10="",O10="",AND(I10="Allocated",OR(Q10="",R10="")),AND(U10="Yes",V10="")),"Incomplete","Ready"))</f>
        <v/>
      </c>
      <c r="X10" s="23">
        <f>IF(W10&lt;&gt;"Incomplete","",SUBSTITUTE(IF(B10="",", Street Address","")&amp;IF(C10="",", City","")&amp;IF(E10="",", Postcode","")&amp;IF(F10="",", Licensing Authority","")&amp;IF(I10="",", Status","")&amp;IF(J10="",", Firm","")&amp;IF(K10="",", Client","")&amp;IF(M10="",", Date of Instruction","")&amp;IF(N10="",", Instruction Type","")&amp;IF(O10="",", Reinstruction","")&amp;IF(AND(I10="Allocated",Q10=""),", Investigator","")&amp;IF(AND(I10="Allocated",R10=""),", Date Assigned","")&amp;IF(AND(U10="Yes",V10=""),", Licence Check Notes",""),", ","",1))</f>
        <v/>
      </c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2">
        <f>IF(A11="","",IF(OR(A11="",B11="",C11="",E11="",F11="",I11="",J11="",K11="",M11="",N11="",O11="",AND(I11="Allocated",OR(Q11="",R11="")),AND(U11="Yes",V11="")),"Incomplete","Ready"))</f>
        <v/>
      </c>
      <c r="X11" s="23">
        <f>IF(W11&lt;&gt;"Incomplete","",SUBSTITUTE(IF(B11="",", Street Address","")&amp;IF(C11="",", City","")&amp;IF(E11="",", Postcode","")&amp;IF(F11="",", Licensing Authority","")&amp;IF(I11="",", Status","")&amp;IF(J11="",", Firm","")&amp;IF(K11="",", Client","")&amp;IF(M11="",", Date of Instruction","")&amp;IF(N11="",", Instruction Type","")&amp;IF(O11="",", Reinstruction","")&amp;IF(AND(I11="Allocated",Q11=""),", Investigator","")&amp;IF(AND(I11="Allocated",R11=""),", Date Assigned","")&amp;IF(AND(U11="Yes",V11=""),", Licence Check Notes",""),", ","",1))</f>
        <v/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2">
        <f>IF(A12="","",IF(OR(A12="",B12="",C12="",E12="",F12="",I12="",J12="",K12="",M12="",N12="",O12="",AND(I12="Allocated",OR(Q12="",R12="")),AND(U12="Yes",V12="")),"Incomplete","Ready"))</f>
        <v/>
      </c>
      <c r="X12" s="23">
        <f>IF(W12&lt;&gt;"Incomplete","",SUBSTITUTE(IF(B12="",", Street Address","")&amp;IF(C12="",", City","")&amp;IF(E12="",", Postcode","")&amp;IF(F12="",", Licensing Authority","")&amp;IF(I12="",", Status","")&amp;IF(J12="",", Firm","")&amp;IF(K12="",", Client","")&amp;IF(M12="",", Date of Instruction","")&amp;IF(N12="",", Instruction Type","")&amp;IF(O12="",", Reinstruction","")&amp;IF(AND(I12="Allocated",Q12=""),", Investigator","")&amp;IF(AND(I12="Allocated",R12=""),", Date Assigned","")&amp;IF(AND(U12="Yes",V12=""),", Licence Check Notes",""),", ","",1))</f>
        <v/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2">
        <f>IF(A13="","",IF(OR(A13="",B13="",C13="",E13="",F13="",I13="",J13="",K13="",M13="",N13="",O13="",AND(I13="Allocated",OR(Q13="",R13="")),AND(U13="Yes",V13="")),"Incomplete","Ready"))</f>
        <v/>
      </c>
      <c r="X13" s="23">
        <f>IF(W13&lt;&gt;"Incomplete","",SUBSTITUTE(IF(B13="",", Street Address","")&amp;IF(C13="",", City","")&amp;IF(E13="",", Postcode","")&amp;IF(F13="",", Licensing Authority","")&amp;IF(I13="",", Status","")&amp;IF(J13="",", Firm","")&amp;IF(K13="",", Client","")&amp;IF(M13="",", Date of Instruction","")&amp;IF(N13="",", Instruction Type","")&amp;IF(O13="",", Reinstruction","")&amp;IF(AND(I13="Allocated",Q13=""),", Investigator","")&amp;IF(AND(I13="Allocated",R13=""),", Date Assigned","")&amp;IF(AND(U13="Yes",V13=""),", Licence Check Notes",""),", ","",1))</f>
        <v/>
      </c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2">
        <f>IF(A14="","",IF(OR(A14="",B14="",C14="",E14="",F14="",I14="",J14="",K14="",M14="",N14="",O14="",AND(I14="Allocated",OR(Q14="",R14="")),AND(U14="Yes",V14="")),"Incomplete","Ready"))</f>
        <v/>
      </c>
      <c r="X14" s="23">
        <f>IF(W14&lt;&gt;"Incomplete","",SUBSTITUTE(IF(B14="",", Street Address","")&amp;IF(C14="",", City","")&amp;IF(E14="",", Postcode","")&amp;IF(F14="",", Licensing Authority","")&amp;IF(I14="",", Status","")&amp;IF(J14="",", Firm","")&amp;IF(K14="",", Client","")&amp;IF(M14="",", Date of Instruction","")&amp;IF(N14="",", Instruction Type","")&amp;IF(O14="",", Reinstruction","")&amp;IF(AND(I14="Allocated",Q14=""),", Investigator","")&amp;IF(AND(I14="Allocated",R14=""),", Date Assigned","")&amp;IF(AND(U14="Yes",V14=""),", Licence Check Notes",""),", ","",1))</f>
        <v/>
      </c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2">
        <f>IF(A15="","",IF(OR(A15="",B15="",C15="",E15="",F15="",I15="",J15="",K15="",M15="",N15="",O15="",AND(I15="Allocated",OR(Q15="",R15="")),AND(U15="Yes",V15="")),"Incomplete","Ready"))</f>
        <v/>
      </c>
      <c r="X15" s="23">
        <f>IF(W15&lt;&gt;"Incomplete","",SUBSTITUTE(IF(B15="",", Street Address","")&amp;IF(C15="",", City","")&amp;IF(E15="",", Postcode","")&amp;IF(F15="",", Licensing Authority","")&amp;IF(I15="",", Status","")&amp;IF(J15="",", Firm","")&amp;IF(K15="",", Client","")&amp;IF(M15="",", Date of Instruction","")&amp;IF(N15="",", Instruction Type","")&amp;IF(O15="",", Reinstruction","")&amp;IF(AND(I15="Allocated",Q15=""),", Investigator","")&amp;IF(AND(I15="Allocated",R15=""),", Date Assigned","")&amp;IF(AND(U15="Yes",V15=""),", Licence Check Notes",""),", ","",1))</f>
        <v/>
      </c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2">
        <f>IF(A16="","",IF(OR(A16="",B16="",C16="",E16="",F16="",I16="",J16="",K16="",M16="",N16="",O16="",AND(I16="Allocated",OR(Q16="",R16="")),AND(U16="Yes",V16="")),"Incomplete","Ready"))</f>
        <v/>
      </c>
      <c r="X16" s="23">
        <f>IF(W16&lt;&gt;"Incomplete","",SUBSTITUTE(IF(B16="",", Street Address","")&amp;IF(C16="",", City","")&amp;IF(E16="",", Postcode","")&amp;IF(F16="",", Licensing Authority","")&amp;IF(I16="",", Status","")&amp;IF(J16="",", Firm","")&amp;IF(K16="",", Client","")&amp;IF(M16="",", Date of Instruction","")&amp;IF(N16="",", Instruction Type","")&amp;IF(O16="",", Reinstruction","")&amp;IF(AND(I16="Allocated",Q16=""),", Investigator","")&amp;IF(AND(I16="Allocated",R16=""),", Date Assigned","")&amp;IF(AND(U16="Yes",V16=""),", Licence Check Notes",""),", ","",1))</f>
        <v/>
      </c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2">
        <f>IF(A17="","",IF(OR(A17="",B17="",C17="",E17="",F17="",I17="",J17="",K17="",M17="",N17="",O17="",AND(I17="Allocated",OR(Q17="",R17="")),AND(U17="Yes",V17="")),"Incomplete","Ready"))</f>
        <v/>
      </c>
      <c r="X17" s="23">
        <f>IF(W17&lt;&gt;"Incomplete","",SUBSTITUTE(IF(B17="",", Street Address","")&amp;IF(C17="",", City","")&amp;IF(E17="",", Postcode","")&amp;IF(F17="",", Licensing Authority","")&amp;IF(I17="",", Status","")&amp;IF(J17="",", Firm","")&amp;IF(K17="",", Client","")&amp;IF(M17="",", Date of Instruction","")&amp;IF(N17="",", Instruction Type","")&amp;IF(O17="",", Reinstruction","")&amp;IF(AND(I17="Allocated",Q17=""),", Investigator","")&amp;IF(AND(I17="Allocated",R17=""),", Date Assigned","")&amp;IF(AND(U17="Yes",V17=""),", Licence Check Notes",""),", ","",1))</f>
        <v/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2">
        <f>IF(A18="","",IF(OR(A18="",B18="",C18="",E18="",F18="",I18="",J18="",K18="",M18="",N18="",O18="",AND(I18="Allocated",OR(Q18="",R18="")),AND(U18="Yes",V18="")),"Incomplete","Ready"))</f>
        <v/>
      </c>
      <c r="X18" s="23">
        <f>IF(W18&lt;&gt;"Incomplete","",SUBSTITUTE(IF(B18="",", Street Address","")&amp;IF(C18="",", City","")&amp;IF(E18="",", Postcode","")&amp;IF(F18="",", Licensing Authority","")&amp;IF(I18="",", Status","")&amp;IF(J18="",", Firm","")&amp;IF(K18="",", Client","")&amp;IF(M18="",", Date of Instruction","")&amp;IF(N18="",", Instruction Type","")&amp;IF(O18="",", Reinstruction","")&amp;IF(AND(I18="Allocated",Q18=""),", Investigator","")&amp;IF(AND(I18="Allocated",R18=""),", Date Assigned","")&amp;IF(AND(U18="Yes",V18=""),", Licence Check Notes",""),", ","",1))</f>
        <v/>
      </c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2">
        <f>IF(A19="","",IF(OR(A19="",B19="",C19="",E19="",F19="",I19="",J19="",K19="",M19="",N19="",O19="",AND(I19="Allocated",OR(Q19="",R19="")),AND(U19="Yes",V19="")),"Incomplete","Ready"))</f>
        <v/>
      </c>
      <c r="X19" s="23">
        <f>IF(W19&lt;&gt;"Incomplete","",SUBSTITUTE(IF(B19="",", Street Address","")&amp;IF(C19="",", City","")&amp;IF(E19="",", Postcode","")&amp;IF(F19="",", Licensing Authority","")&amp;IF(I19="",", Status","")&amp;IF(J19="",", Firm","")&amp;IF(K19="",", Client","")&amp;IF(M19="",", Date of Instruction","")&amp;IF(N19="",", Instruction Type","")&amp;IF(O19="",", Reinstruction","")&amp;IF(AND(I19="Allocated",Q19=""),", Investigator","")&amp;IF(AND(I19="Allocated",R19=""),", Date Assigned","")&amp;IF(AND(U19="Yes",V19=""),", Licence Check Notes",""),", ","",1))</f>
        <v/>
      </c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2">
        <f>IF(A20="","",IF(OR(A20="",B20="",C20="",E20="",F20="",I20="",J20="",K20="",M20="",N20="",O20="",AND(I20="Allocated",OR(Q20="",R20="")),AND(U20="Yes",V20="")),"Incomplete","Ready"))</f>
        <v/>
      </c>
      <c r="X20" s="23">
        <f>IF(W20&lt;&gt;"Incomplete","",SUBSTITUTE(IF(B20="",", Street Address","")&amp;IF(C20="",", City","")&amp;IF(E20="",", Postcode","")&amp;IF(F20="",", Licensing Authority","")&amp;IF(I20="",", Status","")&amp;IF(J20="",", Firm","")&amp;IF(K20="",", Client","")&amp;IF(M20="",", Date of Instruction","")&amp;IF(N20="",", Instruction Type","")&amp;IF(O20="",", Reinstruction","")&amp;IF(AND(I20="Allocated",Q20=""),", Investigator","")&amp;IF(AND(I20="Allocated",R20=""),", Date Assigned","")&amp;IF(AND(U20="Yes",V20=""),", Licence Check Notes",""),", ","",1))</f>
        <v/>
      </c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2">
        <f>IF(A21="","",IF(OR(A21="",B21="",C21="",E21="",F21="",I21="",J21="",K21="",M21="",N21="",O21="",AND(I21="Allocated",OR(Q21="",R21="")),AND(U21="Yes",V21="")),"Incomplete","Ready"))</f>
        <v/>
      </c>
      <c r="X21" s="23">
        <f>IF(W21&lt;&gt;"Incomplete","",SUBSTITUTE(IF(B21="",", Street Address","")&amp;IF(C21="",", City","")&amp;IF(E21="",", Postcode","")&amp;IF(F21="",", Licensing Authority","")&amp;IF(I21="",", Status","")&amp;IF(J21="",", Firm","")&amp;IF(K21="",", Client","")&amp;IF(M21="",", Date of Instruction","")&amp;IF(N21="",", Instruction Type","")&amp;IF(O21="",", Reinstruction","")&amp;IF(AND(I21="Allocated",Q21=""),", Investigator","")&amp;IF(AND(I21="Allocated",R21=""),", Date Assigned","")&amp;IF(AND(U21="Yes",V21=""),", Licence Check Notes",""),", ","",1))</f>
        <v/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2">
        <f>IF(A22="","",IF(OR(A22="",B22="",C22="",E22="",F22="",I22="",J22="",K22="",M22="",N22="",O22="",AND(I22="Allocated",OR(Q22="",R22="")),AND(U22="Yes",V22="")),"Incomplete","Ready"))</f>
        <v/>
      </c>
      <c r="X22" s="23">
        <f>IF(W22&lt;&gt;"Incomplete","",SUBSTITUTE(IF(B22="",", Street Address","")&amp;IF(C22="",", City","")&amp;IF(E22="",", Postcode","")&amp;IF(F22="",", Licensing Authority","")&amp;IF(I22="",", Status","")&amp;IF(J22="",", Firm","")&amp;IF(K22="",", Client","")&amp;IF(M22="",", Date of Instruction","")&amp;IF(N22="",", Instruction Type","")&amp;IF(O22="",", Reinstruction","")&amp;IF(AND(I22="Allocated",Q22=""),", Investigator","")&amp;IF(AND(I22="Allocated",R22=""),", Date Assigned","")&amp;IF(AND(U22="Yes",V22=""),", Licence Check Notes",""),", ","",1))</f>
        <v/>
      </c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2">
        <f>IF(A23="","",IF(OR(A23="",B23="",C23="",E23="",F23="",I23="",J23="",K23="",M23="",N23="",O23="",AND(I23="Allocated",OR(Q23="",R23="")),AND(U23="Yes",V23="")),"Incomplete","Ready"))</f>
        <v/>
      </c>
      <c r="X23" s="23">
        <f>IF(W23&lt;&gt;"Incomplete","",SUBSTITUTE(IF(B23="",", Street Address","")&amp;IF(C23="",", City","")&amp;IF(E23="",", Postcode","")&amp;IF(F23="",", Licensing Authority","")&amp;IF(I23="",", Status","")&amp;IF(J23="",", Firm","")&amp;IF(K23="",", Client","")&amp;IF(M23="",", Date of Instruction","")&amp;IF(N23="",", Instruction Type","")&amp;IF(O23="",", Reinstruction","")&amp;IF(AND(I23="Allocated",Q23=""),", Investigator","")&amp;IF(AND(I23="Allocated",R23=""),", Date Assigned","")&amp;IF(AND(U23="Yes",V23=""),", Licence Check Notes",""),", ","",1))</f>
        <v/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2">
        <f>IF(A24="","",IF(OR(A24="",B24="",C24="",E24="",F24="",I24="",J24="",K24="",M24="",N24="",O24="",AND(I24="Allocated",OR(Q24="",R24="")),AND(U24="Yes",V24="")),"Incomplete","Ready"))</f>
        <v/>
      </c>
      <c r="X24" s="23">
        <f>IF(W24&lt;&gt;"Incomplete","",SUBSTITUTE(IF(B24="",", Street Address","")&amp;IF(C24="",", City","")&amp;IF(E24="",", Postcode","")&amp;IF(F24="",", Licensing Authority","")&amp;IF(I24="",", Status","")&amp;IF(J24="",", Firm","")&amp;IF(K24="",", Client","")&amp;IF(M24="",", Date of Instruction","")&amp;IF(N24="",", Instruction Type","")&amp;IF(O24="",", Reinstruction","")&amp;IF(AND(I24="Allocated",Q24=""),", Investigator","")&amp;IF(AND(I24="Allocated",R24=""),", Date Assigned","")&amp;IF(AND(U24="Yes",V24=""),", Licence Check Notes",""),", ","",1))</f>
        <v/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2">
        <f>IF(A25="","",IF(OR(A25="",B25="",C25="",E25="",F25="",I25="",J25="",K25="",M25="",N25="",O25="",AND(I25="Allocated",OR(Q25="",R25="")),AND(U25="Yes",V25="")),"Incomplete","Ready"))</f>
        <v/>
      </c>
      <c r="X25" s="23">
        <f>IF(W25&lt;&gt;"Incomplete","",SUBSTITUTE(IF(B25="",", Street Address","")&amp;IF(C25="",", City","")&amp;IF(E25="",", Postcode","")&amp;IF(F25="",", Licensing Authority","")&amp;IF(I25="",", Status","")&amp;IF(J25="",", Firm","")&amp;IF(K25="",", Client","")&amp;IF(M25="",", Date of Instruction","")&amp;IF(N25="",", Instruction Type","")&amp;IF(O25="",", Reinstruction","")&amp;IF(AND(I25="Allocated",Q25=""),", Investigator","")&amp;IF(AND(I25="Allocated",R25=""),", Date Assigned","")&amp;IF(AND(U25="Yes",V25=""),", Licence Check Notes",""),", ","",1))</f>
        <v/>
      </c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2">
        <f>IF(A26="","",IF(OR(A26="",B26="",C26="",E26="",F26="",I26="",J26="",K26="",M26="",N26="",O26="",AND(I26="Allocated",OR(Q26="",R26="")),AND(U26="Yes",V26="")),"Incomplete","Ready"))</f>
        <v/>
      </c>
      <c r="X26" s="23">
        <f>IF(W26&lt;&gt;"Incomplete","",SUBSTITUTE(IF(B26="",", Street Address","")&amp;IF(C26="",", City","")&amp;IF(E26="",", Postcode","")&amp;IF(F26="",", Licensing Authority","")&amp;IF(I26="",", Status","")&amp;IF(J26="",", Firm","")&amp;IF(K26="",", Client","")&amp;IF(M26="",", Date of Instruction","")&amp;IF(N26="",", Instruction Type","")&amp;IF(O26="",", Reinstruction","")&amp;IF(AND(I26="Allocated",Q26=""),", Investigator","")&amp;IF(AND(I26="Allocated",R26=""),", Date Assigned","")&amp;IF(AND(U26="Yes",V26=""),", Licence Check Notes",""),", ","",1))</f>
        <v/>
      </c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2">
        <f>IF(A27="","",IF(OR(A27="",B27="",C27="",E27="",F27="",I27="",J27="",K27="",M27="",N27="",O27="",AND(I27="Allocated",OR(Q27="",R27="")),AND(U27="Yes",V27="")),"Incomplete","Ready"))</f>
        <v/>
      </c>
      <c r="X27" s="23">
        <f>IF(W27&lt;&gt;"Incomplete","",SUBSTITUTE(IF(B27="",", Street Address","")&amp;IF(C27="",", City","")&amp;IF(E27="",", Postcode","")&amp;IF(F27="",", Licensing Authority","")&amp;IF(I27="",", Status","")&amp;IF(J27="",", Firm","")&amp;IF(K27="",", Client","")&amp;IF(M27="",", Date of Instruction","")&amp;IF(N27="",", Instruction Type","")&amp;IF(O27="",", Reinstruction","")&amp;IF(AND(I27="Allocated",Q27=""),", Investigator","")&amp;IF(AND(I27="Allocated",R27=""),", Date Assigned","")&amp;IF(AND(U27="Yes",V27=""),", Licence Check Notes",""),", ","",1))</f>
        <v/>
      </c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2">
        <f>IF(A28="","",IF(OR(A28="",B28="",C28="",E28="",F28="",I28="",J28="",K28="",M28="",N28="",O28="",AND(I28="Allocated",OR(Q28="",R28="")),AND(U28="Yes",V28="")),"Incomplete","Ready"))</f>
        <v/>
      </c>
      <c r="X28" s="23">
        <f>IF(W28&lt;&gt;"Incomplete","",SUBSTITUTE(IF(B28="",", Street Address","")&amp;IF(C28="",", City","")&amp;IF(E28="",", Postcode","")&amp;IF(F28="",", Licensing Authority","")&amp;IF(I28="",", Status","")&amp;IF(J28="",", Firm","")&amp;IF(K28="",", Client","")&amp;IF(M28="",", Date of Instruction","")&amp;IF(N28="",", Instruction Type","")&amp;IF(O28="",", Reinstruction","")&amp;IF(AND(I28="Allocated",Q28=""),", Investigator","")&amp;IF(AND(I28="Allocated",R28=""),", Date Assigned","")&amp;IF(AND(U28="Yes",V28=""),", Licence Check Notes",""),", ","",1))</f>
        <v/>
      </c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2">
        <f>IF(A29="","",IF(OR(A29="",B29="",C29="",E29="",F29="",I29="",J29="",K29="",M29="",N29="",O29="",AND(I29="Allocated",OR(Q29="",R29="")),AND(U29="Yes",V29="")),"Incomplete","Ready"))</f>
        <v/>
      </c>
      <c r="X29" s="23">
        <f>IF(W29&lt;&gt;"Incomplete","",SUBSTITUTE(IF(B29="",", Street Address","")&amp;IF(C29="",", City","")&amp;IF(E29="",", Postcode","")&amp;IF(F29="",", Licensing Authority","")&amp;IF(I29="",", Status","")&amp;IF(J29="",", Firm","")&amp;IF(K29="",", Client","")&amp;IF(M29="",", Date of Instruction","")&amp;IF(N29="",", Instruction Type","")&amp;IF(O29="",", Reinstruction","")&amp;IF(AND(I29="Allocated",Q29=""),", Investigator","")&amp;IF(AND(I29="Allocated",R29=""),", Date Assigned","")&amp;IF(AND(U29="Yes",V29=""),", Licence Check Notes",""),", ","",1))</f>
        <v/>
      </c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2">
        <f>IF(A30="","",IF(OR(A30="",B30="",C30="",E30="",F30="",I30="",J30="",K30="",M30="",N30="",O30="",AND(I30="Allocated",OR(Q30="",R30="")),AND(U30="Yes",V30="")),"Incomplete","Ready"))</f>
        <v/>
      </c>
      <c r="X30" s="23">
        <f>IF(W30&lt;&gt;"Incomplete","",SUBSTITUTE(IF(B30="",", Street Address","")&amp;IF(C30="",", City","")&amp;IF(E30="",", Postcode","")&amp;IF(F30="",", Licensing Authority","")&amp;IF(I30="",", Status","")&amp;IF(J30="",", Firm","")&amp;IF(K30="",", Client","")&amp;IF(M30="",", Date of Instruction","")&amp;IF(N30="",", Instruction Type","")&amp;IF(O30="",", Reinstruction","")&amp;IF(AND(I30="Allocated",Q30=""),", Investigator","")&amp;IF(AND(I30="Allocated",R30=""),", Date Assigned","")&amp;IF(AND(U30="Yes",V30=""),", Licence Check Notes",""),", ","",1))</f>
        <v/>
      </c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2">
        <f>IF(A31="","",IF(OR(A31="",B31="",C31="",E31="",F31="",I31="",J31="",K31="",M31="",N31="",O31="",AND(I31="Allocated",OR(Q31="",R31="")),AND(U31="Yes",V31="")),"Incomplete","Ready"))</f>
        <v/>
      </c>
      <c r="X31" s="23">
        <f>IF(W31&lt;&gt;"Incomplete","",SUBSTITUTE(IF(B31="",", Street Address","")&amp;IF(C31="",", City","")&amp;IF(E31="",", Postcode","")&amp;IF(F31="",", Licensing Authority","")&amp;IF(I31="",", Status","")&amp;IF(J31="",", Firm","")&amp;IF(K31="",", Client","")&amp;IF(M31="",", Date of Instruction","")&amp;IF(N31="",", Instruction Type","")&amp;IF(O31="",", Reinstruction","")&amp;IF(AND(I31="Allocated",Q31=""),", Investigator","")&amp;IF(AND(I31="Allocated",R31=""),", Date Assigned","")&amp;IF(AND(U31="Yes",V31=""),", Licence Check Notes",""),", ","",1))</f>
        <v/>
      </c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2">
        <f>IF(A32="","",IF(OR(A32="",B32="",C32="",E32="",F32="",I32="",J32="",K32="",M32="",N32="",O32="",AND(I32="Allocated",OR(Q32="",R32="")),AND(U32="Yes",V32="")),"Incomplete","Ready"))</f>
        <v/>
      </c>
      <c r="X32" s="23">
        <f>IF(W32&lt;&gt;"Incomplete","",SUBSTITUTE(IF(B32="",", Street Address","")&amp;IF(C32="",", City","")&amp;IF(E32="",", Postcode","")&amp;IF(F32="",", Licensing Authority","")&amp;IF(I32="",", Status","")&amp;IF(J32="",", Firm","")&amp;IF(K32="",", Client","")&amp;IF(M32="",", Date of Instruction","")&amp;IF(N32="",", Instruction Type","")&amp;IF(O32="",", Reinstruction","")&amp;IF(AND(I32="Allocated",Q32=""),", Investigator","")&amp;IF(AND(I32="Allocated",R32=""),", Date Assigned","")&amp;IF(AND(U32="Yes",V32=""),", Licence Check Notes",""),", ","",1))</f>
        <v/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2">
        <f>IF(A33="","",IF(OR(A33="",B33="",C33="",E33="",F33="",I33="",J33="",K33="",M33="",N33="",O33="",AND(I33="Allocated",OR(Q33="",R33="")),AND(U33="Yes",V33="")),"Incomplete","Ready"))</f>
        <v/>
      </c>
      <c r="X33" s="23">
        <f>IF(W33&lt;&gt;"Incomplete","",SUBSTITUTE(IF(B33="",", Street Address","")&amp;IF(C33="",", City","")&amp;IF(E33="",", Postcode","")&amp;IF(F33="",", Licensing Authority","")&amp;IF(I33="",", Status","")&amp;IF(J33="",", Firm","")&amp;IF(K33="",", Client","")&amp;IF(M33="",", Date of Instruction","")&amp;IF(N33="",", Instruction Type","")&amp;IF(O33="",", Reinstruction","")&amp;IF(AND(I33="Allocated",Q33=""),", Investigator","")&amp;IF(AND(I33="Allocated",R33=""),", Date Assigned","")&amp;IF(AND(U33="Yes",V33=""),", Licence Check Notes",""),", ","",1))</f>
        <v/>
      </c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2">
        <f>IF(A34="","",IF(OR(A34="",B34="",C34="",E34="",F34="",I34="",J34="",K34="",M34="",N34="",O34="",AND(I34="Allocated",OR(Q34="",R34="")),AND(U34="Yes",V34="")),"Incomplete","Ready"))</f>
        <v/>
      </c>
      <c r="X34" s="23">
        <f>IF(W34&lt;&gt;"Incomplete","",SUBSTITUTE(IF(B34="",", Street Address","")&amp;IF(C34="",", City","")&amp;IF(E34="",", Postcode","")&amp;IF(F34="",", Licensing Authority","")&amp;IF(I34="",", Status","")&amp;IF(J34="",", Firm","")&amp;IF(K34="",", Client","")&amp;IF(M34="",", Date of Instruction","")&amp;IF(N34="",", Instruction Type","")&amp;IF(O34="",", Reinstruction","")&amp;IF(AND(I34="Allocated",Q34=""),", Investigator","")&amp;IF(AND(I34="Allocated",R34=""),", Date Assigned","")&amp;IF(AND(U34="Yes",V34=""),", Licence Check Notes",""),", ","",1))</f>
        <v/>
      </c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2">
        <f>IF(A35="","",IF(OR(A35="",B35="",C35="",E35="",F35="",I35="",J35="",K35="",M35="",N35="",O35="",AND(I35="Allocated",OR(Q35="",R35="")),AND(U35="Yes",V35="")),"Incomplete","Ready"))</f>
        <v/>
      </c>
      <c r="X35" s="23">
        <f>IF(W35&lt;&gt;"Incomplete","",SUBSTITUTE(IF(B35="",", Street Address","")&amp;IF(C35="",", City","")&amp;IF(E35="",", Postcode","")&amp;IF(F35="",", Licensing Authority","")&amp;IF(I35="",", Status","")&amp;IF(J35="",", Firm","")&amp;IF(K35="",", Client","")&amp;IF(M35="",", Date of Instruction","")&amp;IF(N35="",", Instruction Type","")&amp;IF(O35="",", Reinstruction","")&amp;IF(AND(I35="Allocated",Q35=""),", Investigator","")&amp;IF(AND(I35="Allocated",R35=""),", Date Assigned","")&amp;IF(AND(U35="Yes",V35=""),", Licence Check Notes",""),", ","",1))</f>
        <v/>
      </c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2">
        <f>IF(A36="","",IF(OR(A36="",B36="",C36="",E36="",F36="",I36="",J36="",K36="",M36="",N36="",O36="",AND(I36="Allocated",OR(Q36="",R36="")),AND(U36="Yes",V36="")),"Incomplete","Ready"))</f>
        <v/>
      </c>
      <c r="X36" s="23">
        <f>IF(W36&lt;&gt;"Incomplete","",SUBSTITUTE(IF(B36="",", Street Address","")&amp;IF(C36="",", City","")&amp;IF(E36="",", Postcode","")&amp;IF(F36="",", Licensing Authority","")&amp;IF(I36="",", Status","")&amp;IF(J36="",", Firm","")&amp;IF(K36="",", Client","")&amp;IF(M36="",", Date of Instruction","")&amp;IF(N36="",", Instruction Type","")&amp;IF(O36="",", Reinstruction","")&amp;IF(AND(I36="Allocated",Q36=""),", Investigator","")&amp;IF(AND(I36="Allocated",R36=""),", Date Assigned","")&amp;IF(AND(U36="Yes",V36=""),", Licence Check Notes",""),", ","",1))</f>
        <v/>
      </c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2">
        <f>IF(A37="","",IF(OR(A37="",B37="",C37="",E37="",F37="",I37="",J37="",K37="",M37="",N37="",O37="",AND(I37="Allocated",OR(Q37="",R37="")),AND(U37="Yes",V37="")),"Incomplete","Ready"))</f>
        <v/>
      </c>
      <c r="X37" s="23">
        <f>IF(W37&lt;&gt;"Incomplete","",SUBSTITUTE(IF(B37="",", Street Address","")&amp;IF(C37="",", City","")&amp;IF(E37="",", Postcode","")&amp;IF(F37="",", Licensing Authority","")&amp;IF(I37="",", Status","")&amp;IF(J37="",", Firm","")&amp;IF(K37="",", Client","")&amp;IF(M37="",", Date of Instruction","")&amp;IF(N37="",", Instruction Type","")&amp;IF(O37="",", Reinstruction","")&amp;IF(AND(I37="Allocated",Q37=""),", Investigator","")&amp;IF(AND(I37="Allocated",R37=""),", Date Assigned","")&amp;IF(AND(U37="Yes",V37=""),", Licence Check Notes",""),", ","",1))</f>
        <v/>
      </c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2">
        <f>IF(A38="","",IF(OR(A38="",B38="",C38="",E38="",F38="",I38="",J38="",K38="",M38="",N38="",O38="",AND(I38="Allocated",OR(Q38="",R38="")),AND(U38="Yes",V38="")),"Incomplete","Ready"))</f>
        <v/>
      </c>
      <c r="X38" s="23">
        <f>IF(W38&lt;&gt;"Incomplete","",SUBSTITUTE(IF(B38="",", Street Address","")&amp;IF(C38="",", City","")&amp;IF(E38="",", Postcode","")&amp;IF(F38="",", Licensing Authority","")&amp;IF(I38="",", Status","")&amp;IF(J38="",", Firm","")&amp;IF(K38="",", Client","")&amp;IF(M38="",", Date of Instruction","")&amp;IF(N38="",", Instruction Type","")&amp;IF(O38="",", Reinstruction","")&amp;IF(AND(I38="Allocated",Q38=""),", Investigator","")&amp;IF(AND(I38="Allocated",R38=""),", Date Assigned","")&amp;IF(AND(U38="Yes",V38=""),", Licence Check Notes",""),", ","",1))</f>
        <v/>
      </c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2">
        <f>IF(A39="","",IF(OR(A39="",B39="",C39="",E39="",F39="",I39="",J39="",K39="",M39="",N39="",O39="",AND(I39="Allocated",OR(Q39="",R39="")),AND(U39="Yes",V39="")),"Incomplete","Ready"))</f>
        <v/>
      </c>
      <c r="X39" s="23">
        <f>IF(W39&lt;&gt;"Incomplete","",SUBSTITUTE(IF(B39="",", Street Address","")&amp;IF(C39="",", City","")&amp;IF(E39="",", Postcode","")&amp;IF(F39="",", Licensing Authority","")&amp;IF(I39="",", Status","")&amp;IF(J39="",", Firm","")&amp;IF(K39="",", Client","")&amp;IF(M39="",", Date of Instruction","")&amp;IF(N39="",", Instruction Type","")&amp;IF(O39="",", Reinstruction","")&amp;IF(AND(I39="Allocated",Q39=""),", Investigator","")&amp;IF(AND(I39="Allocated",R39=""),", Date Assigned","")&amp;IF(AND(U39="Yes",V39=""),", Licence Check Notes",""),", ","",1))</f>
        <v/>
      </c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2">
        <f>IF(A40="","",IF(OR(A40="",B40="",C40="",E40="",F40="",I40="",J40="",K40="",M40="",N40="",O40="",AND(I40="Allocated",OR(Q40="",R40="")),AND(U40="Yes",V40="")),"Incomplete","Ready"))</f>
        <v/>
      </c>
      <c r="X40" s="23">
        <f>IF(W40&lt;&gt;"Incomplete","",SUBSTITUTE(IF(B40="",", Street Address","")&amp;IF(C40="",", City","")&amp;IF(E40="",", Postcode","")&amp;IF(F40="",", Licensing Authority","")&amp;IF(I40="",", Status","")&amp;IF(J40="",", Firm","")&amp;IF(K40="",", Client","")&amp;IF(M40="",", Date of Instruction","")&amp;IF(N40="",", Instruction Type","")&amp;IF(O40="",", Reinstruction","")&amp;IF(AND(I40="Allocated",Q40=""),", Investigator","")&amp;IF(AND(I40="Allocated",R40=""),", Date Assigned","")&amp;IF(AND(U40="Yes",V40=""),", Licence Check Notes",""),", ","",1))</f>
        <v/>
      </c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2">
        <f>IF(A41="","",IF(OR(A41="",B41="",C41="",E41="",F41="",I41="",J41="",K41="",M41="",N41="",O41="",AND(I41="Allocated",OR(Q41="",R41="")),AND(U41="Yes",V41="")),"Incomplete","Ready"))</f>
        <v/>
      </c>
      <c r="X41" s="23">
        <f>IF(W41&lt;&gt;"Incomplete","",SUBSTITUTE(IF(B41="",", Street Address","")&amp;IF(C41="",", City","")&amp;IF(E41="",", Postcode","")&amp;IF(F41="",", Licensing Authority","")&amp;IF(I41="",", Status","")&amp;IF(J41="",", Firm","")&amp;IF(K41="",", Client","")&amp;IF(M41="",", Date of Instruction","")&amp;IF(N41="",", Instruction Type","")&amp;IF(O41="",", Reinstruction","")&amp;IF(AND(I41="Allocated",Q41=""),", Investigator","")&amp;IF(AND(I41="Allocated",R41=""),", Date Assigned","")&amp;IF(AND(U41="Yes",V41=""),", Licence Check Notes",""),", ","",1))</f>
        <v/>
      </c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2">
        <f>IF(A42="","",IF(OR(A42="",B42="",C42="",E42="",F42="",I42="",J42="",K42="",M42="",N42="",O42="",AND(I42="Allocated",OR(Q42="",R42="")),AND(U42="Yes",V42="")),"Incomplete","Ready"))</f>
        <v/>
      </c>
      <c r="X42" s="23">
        <f>IF(W42&lt;&gt;"Incomplete","",SUBSTITUTE(IF(B42="",", Street Address","")&amp;IF(C42="",", City","")&amp;IF(E42="",", Postcode","")&amp;IF(F42="",", Licensing Authority","")&amp;IF(I42="",", Status","")&amp;IF(J42="",", Firm","")&amp;IF(K42="",", Client","")&amp;IF(M42="",", Date of Instruction","")&amp;IF(N42="",", Instruction Type","")&amp;IF(O42="",", Reinstruction","")&amp;IF(AND(I42="Allocated",Q42=""),", Investigator","")&amp;IF(AND(I42="Allocated",R42=""),", Date Assigned","")&amp;IF(AND(U42="Yes",V42=""),", Licence Check Notes",""),", ","",1))</f>
        <v/>
      </c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2">
        <f>IF(A43="","",IF(OR(A43="",B43="",C43="",E43="",F43="",I43="",J43="",K43="",M43="",N43="",O43="",AND(I43="Allocated",OR(Q43="",R43="")),AND(U43="Yes",V43="")),"Incomplete","Ready"))</f>
        <v/>
      </c>
      <c r="X43" s="23">
        <f>IF(W43&lt;&gt;"Incomplete","",SUBSTITUTE(IF(B43="",", Street Address","")&amp;IF(C43="",", City","")&amp;IF(E43="",", Postcode","")&amp;IF(F43="",", Licensing Authority","")&amp;IF(I43="",", Status","")&amp;IF(J43="",", Firm","")&amp;IF(K43="",", Client","")&amp;IF(M43="",", Date of Instruction","")&amp;IF(N43="",", Instruction Type","")&amp;IF(O43="",", Reinstruction","")&amp;IF(AND(I43="Allocated",Q43=""),", Investigator","")&amp;IF(AND(I43="Allocated",R43=""),", Date Assigned","")&amp;IF(AND(U43="Yes",V43=""),", Licence Check Notes",""),", ","",1))</f>
        <v/>
      </c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2">
        <f>IF(A44="","",IF(OR(A44="",B44="",C44="",E44="",F44="",I44="",J44="",K44="",M44="",N44="",O44="",AND(I44="Allocated",OR(Q44="",R44="")),AND(U44="Yes",V44="")),"Incomplete","Ready"))</f>
        <v/>
      </c>
      <c r="X44" s="23">
        <f>IF(W44&lt;&gt;"Incomplete","",SUBSTITUTE(IF(B44="",", Street Address","")&amp;IF(C44="",", City","")&amp;IF(E44="",", Postcode","")&amp;IF(F44="",", Licensing Authority","")&amp;IF(I44="",", Status","")&amp;IF(J44="",", Firm","")&amp;IF(K44="",", Client","")&amp;IF(M44="",", Date of Instruction","")&amp;IF(N44="",", Instruction Type","")&amp;IF(O44="",", Reinstruction","")&amp;IF(AND(I44="Allocated",Q44=""),", Investigator","")&amp;IF(AND(I44="Allocated",R44=""),", Date Assigned","")&amp;IF(AND(U44="Yes",V44=""),", Licence Check Notes",""),", ","",1))</f>
        <v/>
      </c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2">
        <f>IF(A45="","",IF(OR(A45="",B45="",C45="",E45="",F45="",I45="",J45="",K45="",M45="",N45="",O45="",AND(I45="Allocated",OR(Q45="",R45="")),AND(U45="Yes",V45="")),"Incomplete","Ready"))</f>
        <v/>
      </c>
      <c r="X45" s="23">
        <f>IF(W45&lt;&gt;"Incomplete","",SUBSTITUTE(IF(B45="",", Street Address","")&amp;IF(C45="",", City","")&amp;IF(E45="",", Postcode","")&amp;IF(F45="",", Licensing Authority","")&amp;IF(I45="",", Status","")&amp;IF(J45="",", Firm","")&amp;IF(K45="",", Client","")&amp;IF(M45="",", Date of Instruction","")&amp;IF(N45="",", Instruction Type","")&amp;IF(O45="",", Reinstruction","")&amp;IF(AND(I45="Allocated",Q45=""),", Investigator","")&amp;IF(AND(I45="Allocated",R45=""),", Date Assigned","")&amp;IF(AND(U45="Yes",V45=""),", Licence Check Notes",""),", ","",1))</f>
        <v/>
      </c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2">
        <f>IF(A46="","",IF(OR(A46="",B46="",C46="",E46="",F46="",I46="",J46="",K46="",M46="",N46="",O46="",AND(I46="Allocated",OR(Q46="",R46="")),AND(U46="Yes",V46="")),"Incomplete","Ready"))</f>
        <v/>
      </c>
      <c r="X46" s="23">
        <f>IF(W46&lt;&gt;"Incomplete","",SUBSTITUTE(IF(B46="",", Street Address","")&amp;IF(C46="",", City","")&amp;IF(E46="",", Postcode","")&amp;IF(F46="",", Licensing Authority","")&amp;IF(I46="",", Status","")&amp;IF(J46="",", Firm","")&amp;IF(K46="",", Client","")&amp;IF(M46="",", Date of Instruction","")&amp;IF(N46="",", Instruction Type","")&amp;IF(O46="",", Reinstruction","")&amp;IF(AND(I46="Allocated",Q46=""),", Investigator","")&amp;IF(AND(I46="Allocated",R46=""),", Date Assigned","")&amp;IF(AND(U46="Yes",V46=""),", Licence Check Notes",""),", ","",1))</f>
        <v/>
      </c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2">
        <f>IF(A47="","",IF(OR(A47="",B47="",C47="",E47="",F47="",I47="",J47="",K47="",M47="",N47="",O47="",AND(I47="Allocated",OR(Q47="",R47="")),AND(U47="Yes",V47="")),"Incomplete","Ready"))</f>
        <v/>
      </c>
      <c r="X47" s="23">
        <f>IF(W47&lt;&gt;"Incomplete","",SUBSTITUTE(IF(B47="",", Street Address","")&amp;IF(C47="",", City","")&amp;IF(E47="",", Postcode","")&amp;IF(F47="",", Licensing Authority","")&amp;IF(I47="",", Status","")&amp;IF(J47="",", Firm","")&amp;IF(K47="",", Client","")&amp;IF(M47="",", Date of Instruction","")&amp;IF(N47="",", Instruction Type","")&amp;IF(O47="",", Reinstruction","")&amp;IF(AND(I47="Allocated",Q47=""),", Investigator","")&amp;IF(AND(I47="Allocated",R47=""),", Date Assigned","")&amp;IF(AND(U47="Yes",V47=""),", Licence Check Notes",""),", ","",1))</f>
        <v/>
      </c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2">
        <f>IF(A48="","",IF(OR(A48="",B48="",C48="",E48="",F48="",I48="",J48="",K48="",M48="",N48="",O48="",AND(I48="Allocated",OR(Q48="",R48="")),AND(U48="Yes",V48="")),"Incomplete","Ready"))</f>
        <v/>
      </c>
      <c r="X48" s="23">
        <f>IF(W48&lt;&gt;"Incomplete","",SUBSTITUTE(IF(B48="",", Street Address","")&amp;IF(C48="",", City","")&amp;IF(E48="",", Postcode","")&amp;IF(F48="",", Licensing Authority","")&amp;IF(I48="",", Status","")&amp;IF(J48="",", Firm","")&amp;IF(K48="",", Client","")&amp;IF(M48="",", Date of Instruction","")&amp;IF(N48="",", Instruction Type","")&amp;IF(O48="",", Reinstruction","")&amp;IF(AND(I48="Allocated",Q48=""),", Investigator","")&amp;IF(AND(I48="Allocated",R48=""),", Date Assigned","")&amp;IF(AND(U48="Yes",V48=""),", Licence Check Notes",""),", ","",1))</f>
        <v/>
      </c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2">
        <f>IF(A49="","",IF(OR(A49="",B49="",C49="",E49="",F49="",I49="",J49="",K49="",M49="",N49="",O49="",AND(I49="Allocated",OR(Q49="",R49="")),AND(U49="Yes",V49="")),"Incomplete","Ready"))</f>
        <v/>
      </c>
      <c r="X49" s="23">
        <f>IF(W49&lt;&gt;"Incomplete","",SUBSTITUTE(IF(B49="",", Street Address","")&amp;IF(C49="",", City","")&amp;IF(E49="",", Postcode","")&amp;IF(F49="",", Licensing Authority","")&amp;IF(I49="",", Status","")&amp;IF(J49="",", Firm","")&amp;IF(K49="",", Client","")&amp;IF(M49="",", Date of Instruction","")&amp;IF(N49="",", Instruction Type","")&amp;IF(O49="",", Reinstruction","")&amp;IF(AND(I49="Allocated",Q49=""),", Investigator","")&amp;IF(AND(I49="Allocated",R49=""),", Date Assigned","")&amp;IF(AND(U49="Yes",V49=""),", Licence Check Notes",""),", ","",1))</f>
        <v/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2">
        <f>IF(A50="","",IF(OR(A50="",B50="",C50="",E50="",F50="",I50="",J50="",K50="",M50="",N50="",O50="",AND(I50="Allocated",OR(Q50="",R50="")),AND(U50="Yes",V50="")),"Incomplete","Ready"))</f>
        <v/>
      </c>
      <c r="X50" s="23">
        <f>IF(W50&lt;&gt;"Incomplete","",SUBSTITUTE(IF(B50="",", Street Address","")&amp;IF(C50="",", City","")&amp;IF(E50="",", Postcode","")&amp;IF(F50="",", Licensing Authority","")&amp;IF(I50="",", Status","")&amp;IF(J50="",", Firm","")&amp;IF(K50="",", Client","")&amp;IF(M50="",", Date of Instruction","")&amp;IF(N50="",", Instruction Type","")&amp;IF(O50="",", Reinstruction","")&amp;IF(AND(I50="Allocated",Q50=""),", Investigator","")&amp;IF(AND(I50="Allocated",R50=""),", Date Assigned","")&amp;IF(AND(U50="Yes",V50=""),", Licence Check Notes",""),", ","",1))</f>
        <v/>
      </c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2">
        <f>IF(A51="","",IF(OR(A51="",B51="",C51="",E51="",F51="",I51="",J51="",K51="",M51="",N51="",O51="",AND(I51="Allocated",OR(Q51="",R51="")),AND(U51="Yes",V51="")),"Incomplete","Ready"))</f>
        <v/>
      </c>
      <c r="X51" s="23">
        <f>IF(W51&lt;&gt;"Incomplete","",SUBSTITUTE(IF(B51="",", Street Address","")&amp;IF(C51="",", City","")&amp;IF(E51="",", Postcode","")&amp;IF(F51="",", Licensing Authority","")&amp;IF(I51="",", Status","")&amp;IF(J51="",", Firm","")&amp;IF(K51="",", Client","")&amp;IF(M51="",", Date of Instruction","")&amp;IF(N51="",", Instruction Type","")&amp;IF(O51="",", Reinstruction","")&amp;IF(AND(I51="Allocated",Q51=""),", Investigator","")&amp;IF(AND(I51="Allocated",R51=""),", Date Assigned","")&amp;IF(AND(U51="Yes",V51=""),", Licence Check Notes",""),", ","",1))</f>
        <v/>
      </c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2">
        <f>IF(A52="","",IF(OR(A52="",B52="",C52="",E52="",F52="",I52="",J52="",K52="",M52="",N52="",O52="",AND(I52="Allocated",OR(Q52="",R52="")),AND(U52="Yes",V52="")),"Incomplete","Ready"))</f>
        <v/>
      </c>
      <c r="X52" s="23">
        <f>IF(W52&lt;&gt;"Incomplete","",SUBSTITUTE(IF(B52="",", Street Address","")&amp;IF(C52="",", City","")&amp;IF(E52="",", Postcode","")&amp;IF(F52="",", Licensing Authority","")&amp;IF(I52="",", Status","")&amp;IF(J52="",", Firm","")&amp;IF(K52="",", Client","")&amp;IF(M52="",", Date of Instruction","")&amp;IF(N52="",", Instruction Type","")&amp;IF(O52="",", Reinstruction","")&amp;IF(AND(I52="Allocated",Q52=""),", Investigator","")&amp;IF(AND(I52="Allocated",R52=""),", Date Assigned","")&amp;IF(AND(U52="Yes",V52=""),", Licence Check Notes",""),", ","",1))</f>
        <v/>
      </c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2">
        <f>IF(A53="","",IF(OR(A53="",B53="",C53="",E53="",F53="",I53="",J53="",K53="",M53="",N53="",O53="",AND(I53="Allocated",OR(Q53="",R53="")),AND(U53="Yes",V53="")),"Incomplete","Ready"))</f>
        <v/>
      </c>
      <c r="X53" s="23">
        <f>IF(W53&lt;&gt;"Incomplete","",SUBSTITUTE(IF(B53="",", Street Address","")&amp;IF(C53="",", City","")&amp;IF(E53="",", Postcode","")&amp;IF(F53="",", Licensing Authority","")&amp;IF(I53="",", Status","")&amp;IF(J53="",", Firm","")&amp;IF(K53="",", Client","")&amp;IF(M53="",", Date of Instruction","")&amp;IF(N53="",", Instruction Type","")&amp;IF(O53="",", Reinstruction","")&amp;IF(AND(I53="Allocated",Q53=""),", Investigator","")&amp;IF(AND(I53="Allocated",R53=""),", Date Assigned","")&amp;IF(AND(U53="Yes",V53=""),", Licence Check Notes",""),", ","",1))</f>
        <v/>
      </c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2">
        <f>IF(A54="","",IF(OR(A54="",B54="",C54="",E54="",F54="",I54="",J54="",K54="",M54="",N54="",O54="",AND(I54="Allocated",OR(Q54="",R54="")),AND(U54="Yes",V54="")),"Incomplete","Ready"))</f>
        <v/>
      </c>
      <c r="X54" s="23">
        <f>IF(W54&lt;&gt;"Incomplete","",SUBSTITUTE(IF(B54="",", Street Address","")&amp;IF(C54="",", City","")&amp;IF(E54="",", Postcode","")&amp;IF(F54="",", Licensing Authority","")&amp;IF(I54="",", Status","")&amp;IF(J54="",", Firm","")&amp;IF(K54="",", Client","")&amp;IF(M54="",", Date of Instruction","")&amp;IF(N54="",", Instruction Type","")&amp;IF(O54="",", Reinstruction","")&amp;IF(AND(I54="Allocated",Q54=""),", Investigator","")&amp;IF(AND(I54="Allocated",R54=""),", Date Assigned","")&amp;IF(AND(U54="Yes",V54=""),", Licence Check Notes",""),", ","",1))</f>
        <v/>
      </c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2">
        <f>IF(A55="","",IF(OR(A55="",B55="",C55="",E55="",F55="",I55="",J55="",K55="",M55="",N55="",O55="",AND(I55="Allocated",OR(Q55="",R55="")),AND(U55="Yes",V55="")),"Incomplete","Ready"))</f>
        <v/>
      </c>
      <c r="X55" s="23">
        <f>IF(W55&lt;&gt;"Incomplete","",SUBSTITUTE(IF(B55="",", Street Address","")&amp;IF(C55="",", City","")&amp;IF(E55="",", Postcode","")&amp;IF(F55="",", Licensing Authority","")&amp;IF(I55="",", Status","")&amp;IF(J55="",", Firm","")&amp;IF(K55="",", Client","")&amp;IF(M55="",", Date of Instruction","")&amp;IF(N55="",", Instruction Type","")&amp;IF(O55="",", Reinstruction","")&amp;IF(AND(I55="Allocated",Q55=""),", Investigator","")&amp;IF(AND(I55="Allocated",R55=""),", Date Assigned","")&amp;IF(AND(U55="Yes",V55=""),", Licence Check Notes",""),", ","",1))</f>
        <v/>
      </c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2">
        <f>IF(A56="","",IF(OR(A56="",B56="",C56="",E56="",F56="",I56="",J56="",K56="",M56="",N56="",O56="",AND(I56="Allocated",OR(Q56="",R56="")),AND(U56="Yes",V56="")),"Incomplete","Ready"))</f>
        <v/>
      </c>
      <c r="X56" s="23">
        <f>IF(W56&lt;&gt;"Incomplete","",SUBSTITUTE(IF(B56="",", Street Address","")&amp;IF(C56="",", City","")&amp;IF(E56="",", Postcode","")&amp;IF(F56="",", Licensing Authority","")&amp;IF(I56="",", Status","")&amp;IF(J56="",", Firm","")&amp;IF(K56="",", Client","")&amp;IF(M56="",", Date of Instruction","")&amp;IF(N56="",", Instruction Type","")&amp;IF(O56="",", Reinstruction","")&amp;IF(AND(I56="Allocated",Q56=""),", Investigator","")&amp;IF(AND(I56="Allocated",R56=""),", Date Assigned","")&amp;IF(AND(U56="Yes",V56=""),", Licence Check Notes",""),", ","",1))</f>
        <v/>
      </c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2">
        <f>IF(A57="","",IF(OR(A57="",B57="",C57="",E57="",F57="",I57="",J57="",K57="",M57="",N57="",O57="",AND(I57="Allocated",OR(Q57="",R57="")),AND(U57="Yes",V57="")),"Incomplete","Ready"))</f>
        <v/>
      </c>
      <c r="X57" s="23">
        <f>IF(W57&lt;&gt;"Incomplete","",SUBSTITUTE(IF(B57="",", Street Address","")&amp;IF(C57="",", City","")&amp;IF(E57="",", Postcode","")&amp;IF(F57="",", Licensing Authority","")&amp;IF(I57="",", Status","")&amp;IF(J57="",", Firm","")&amp;IF(K57="",", Client","")&amp;IF(M57="",", Date of Instruction","")&amp;IF(N57="",", Instruction Type","")&amp;IF(O57="",", Reinstruction","")&amp;IF(AND(I57="Allocated",Q57=""),", Investigator","")&amp;IF(AND(I57="Allocated",R57=""),", Date Assigned","")&amp;IF(AND(U57="Yes",V57=""),", Licence Check Notes",""),", ","",1))</f>
        <v/>
      </c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2">
        <f>IF(A58="","",IF(OR(A58="",B58="",C58="",E58="",F58="",I58="",J58="",K58="",M58="",N58="",O58="",AND(I58="Allocated",OR(Q58="",R58="")),AND(U58="Yes",V58="")),"Incomplete","Ready"))</f>
        <v/>
      </c>
      <c r="X58" s="23">
        <f>IF(W58&lt;&gt;"Incomplete","",SUBSTITUTE(IF(B58="",", Street Address","")&amp;IF(C58="",", City","")&amp;IF(E58="",", Postcode","")&amp;IF(F58="",", Licensing Authority","")&amp;IF(I58="",", Status","")&amp;IF(J58="",", Firm","")&amp;IF(K58="",", Client","")&amp;IF(M58="",", Date of Instruction","")&amp;IF(N58="",", Instruction Type","")&amp;IF(O58="",", Reinstruction","")&amp;IF(AND(I58="Allocated",Q58=""),", Investigator","")&amp;IF(AND(I58="Allocated",R58=""),", Date Assigned","")&amp;IF(AND(U58="Yes",V58=""),", Licence Check Notes",""),", ","",1))</f>
        <v/>
      </c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2">
        <f>IF(A59="","",IF(OR(A59="",B59="",C59="",E59="",F59="",I59="",J59="",K59="",M59="",N59="",O59="",AND(I59="Allocated",OR(Q59="",R59="")),AND(U59="Yes",V59="")),"Incomplete","Ready"))</f>
        <v/>
      </c>
      <c r="X59" s="23">
        <f>IF(W59&lt;&gt;"Incomplete","",SUBSTITUTE(IF(B59="",", Street Address","")&amp;IF(C59="",", City","")&amp;IF(E59="",", Postcode","")&amp;IF(F59="",", Licensing Authority","")&amp;IF(I59="",", Status","")&amp;IF(J59="",", Firm","")&amp;IF(K59="",", Client","")&amp;IF(M59="",", Date of Instruction","")&amp;IF(N59="",", Instruction Type","")&amp;IF(O59="",", Reinstruction","")&amp;IF(AND(I59="Allocated",Q59=""),", Investigator","")&amp;IF(AND(I59="Allocated",R59=""),", Date Assigned","")&amp;IF(AND(U59="Yes",V59=""),", Licence Check Notes",""),", ","",1))</f>
        <v/>
      </c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2">
        <f>IF(A60="","",IF(OR(A60="",B60="",C60="",E60="",F60="",I60="",J60="",K60="",M60="",N60="",O60="",AND(I60="Allocated",OR(Q60="",R60="")),AND(U60="Yes",V60="")),"Incomplete","Ready"))</f>
        <v/>
      </c>
      <c r="X60" s="23">
        <f>IF(W60&lt;&gt;"Incomplete","",SUBSTITUTE(IF(B60="",", Street Address","")&amp;IF(C60="",", City","")&amp;IF(E60="",", Postcode","")&amp;IF(F60="",", Licensing Authority","")&amp;IF(I60="",", Status","")&amp;IF(J60="",", Firm","")&amp;IF(K60="",", Client","")&amp;IF(M60="",", Date of Instruction","")&amp;IF(N60="",", Instruction Type","")&amp;IF(O60="",", Reinstruction","")&amp;IF(AND(I60="Allocated",Q60=""),", Investigator","")&amp;IF(AND(I60="Allocated",R60=""),", Date Assigned","")&amp;IF(AND(U60="Yes",V60=""),", Licence Check Notes",""),", ","",1))</f>
        <v/>
      </c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2">
        <f>IF(A61="","",IF(OR(A61="",B61="",C61="",E61="",F61="",I61="",J61="",K61="",M61="",N61="",O61="",AND(I61="Allocated",OR(Q61="",R61="")),AND(U61="Yes",V61="")),"Incomplete","Ready"))</f>
        <v/>
      </c>
      <c r="X61" s="23">
        <f>IF(W61&lt;&gt;"Incomplete","",SUBSTITUTE(IF(B61="",", Street Address","")&amp;IF(C61="",", City","")&amp;IF(E61="",", Postcode","")&amp;IF(F61="",", Licensing Authority","")&amp;IF(I61="",", Status","")&amp;IF(J61="",", Firm","")&amp;IF(K61="",", Client","")&amp;IF(M61="",", Date of Instruction","")&amp;IF(N61="",", Instruction Type","")&amp;IF(O61="",", Reinstruction","")&amp;IF(AND(I61="Allocated",Q61=""),", Investigator","")&amp;IF(AND(I61="Allocated",R61=""),", Date Assigned","")&amp;IF(AND(U61="Yes",V61=""),", Licence Check Notes",""),", ","",1))</f>
        <v/>
      </c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2">
        <f>IF(A62="","",IF(OR(A62="",B62="",C62="",E62="",F62="",I62="",J62="",K62="",M62="",N62="",O62="",AND(I62="Allocated",OR(Q62="",R62="")),AND(U62="Yes",V62="")),"Incomplete","Ready"))</f>
        <v/>
      </c>
      <c r="X62" s="23">
        <f>IF(W62&lt;&gt;"Incomplete","",SUBSTITUTE(IF(B62="",", Street Address","")&amp;IF(C62="",", City","")&amp;IF(E62="",", Postcode","")&amp;IF(F62="",", Licensing Authority","")&amp;IF(I62="",", Status","")&amp;IF(J62="",", Firm","")&amp;IF(K62="",", Client","")&amp;IF(M62="",", Date of Instruction","")&amp;IF(N62="",", Instruction Type","")&amp;IF(O62="",", Reinstruction","")&amp;IF(AND(I62="Allocated",Q62=""),", Investigator","")&amp;IF(AND(I62="Allocated",R62=""),", Date Assigned","")&amp;IF(AND(U62="Yes",V62=""),", Licence Check Notes",""),", ","",1))</f>
        <v/>
      </c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2">
        <f>IF(A63="","",IF(OR(A63="",B63="",C63="",E63="",F63="",I63="",J63="",K63="",M63="",N63="",O63="",AND(I63="Allocated",OR(Q63="",R63="")),AND(U63="Yes",V63="")),"Incomplete","Ready"))</f>
        <v/>
      </c>
      <c r="X63" s="23">
        <f>IF(W63&lt;&gt;"Incomplete","",SUBSTITUTE(IF(B63="",", Street Address","")&amp;IF(C63="",", City","")&amp;IF(E63="",", Postcode","")&amp;IF(F63="",", Licensing Authority","")&amp;IF(I63="",", Status","")&amp;IF(J63="",", Firm","")&amp;IF(K63="",", Client","")&amp;IF(M63="",", Date of Instruction","")&amp;IF(N63="",", Instruction Type","")&amp;IF(O63="",", Reinstruction","")&amp;IF(AND(I63="Allocated",Q63=""),", Investigator","")&amp;IF(AND(I63="Allocated",R63=""),", Date Assigned","")&amp;IF(AND(U63="Yes",V63=""),", Licence Check Notes",""),", ","",1))</f>
        <v/>
      </c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2">
        <f>IF(A64="","",IF(OR(A64="",B64="",C64="",E64="",F64="",I64="",J64="",K64="",M64="",N64="",O64="",AND(I64="Allocated",OR(Q64="",R64="")),AND(U64="Yes",V64="")),"Incomplete","Ready"))</f>
        <v/>
      </c>
      <c r="X64" s="23">
        <f>IF(W64&lt;&gt;"Incomplete","",SUBSTITUTE(IF(B64="",", Street Address","")&amp;IF(C64="",", City","")&amp;IF(E64="",", Postcode","")&amp;IF(F64="",", Licensing Authority","")&amp;IF(I64="",", Status","")&amp;IF(J64="",", Firm","")&amp;IF(K64="",", Client","")&amp;IF(M64="",", Date of Instruction","")&amp;IF(N64="",", Instruction Type","")&amp;IF(O64="",", Reinstruction","")&amp;IF(AND(I64="Allocated",Q64=""),", Investigator","")&amp;IF(AND(I64="Allocated",R64=""),", Date Assigned","")&amp;IF(AND(U64="Yes",V64=""),", Licence Check Notes",""),", ","",1))</f>
        <v/>
      </c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2">
        <f>IF(A65="","",IF(OR(A65="",B65="",C65="",E65="",F65="",I65="",J65="",K65="",M65="",N65="",O65="",AND(I65="Allocated",OR(Q65="",R65="")),AND(U65="Yes",V65="")),"Incomplete","Ready"))</f>
        <v/>
      </c>
      <c r="X65" s="23">
        <f>IF(W65&lt;&gt;"Incomplete","",SUBSTITUTE(IF(B65="",", Street Address","")&amp;IF(C65="",", City","")&amp;IF(E65="",", Postcode","")&amp;IF(F65="",", Licensing Authority","")&amp;IF(I65="",", Status","")&amp;IF(J65="",", Firm","")&amp;IF(K65="",", Client","")&amp;IF(M65="",", Date of Instruction","")&amp;IF(N65="",", Instruction Type","")&amp;IF(O65="",", Reinstruction","")&amp;IF(AND(I65="Allocated",Q65=""),", Investigator","")&amp;IF(AND(I65="Allocated",R65=""),", Date Assigned","")&amp;IF(AND(U65="Yes",V65=""),", Licence Check Notes",""),", ","",1))</f>
        <v/>
      </c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2">
        <f>IF(A66="","",IF(OR(A66="",B66="",C66="",E66="",F66="",I66="",J66="",K66="",M66="",N66="",O66="",AND(I66="Allocated",OR(Q66="",R66="")),AND(U66="Yes",V66="")),"Incomplete","Ready"))</f>
        <v/>
      </c>
      <c r="X66" s="23">
        <f>IF(W66&lt;&gt;"Incomplete","",SUBSTITUTE(IF(B66="",", Street Address","")&amp;IF(C66="",", City","")&amp;IF(E66="",", Postcode","")&amp;IF(F66="",", Licensing Authority","")&amp;IF(I66="",", Status","")&amp;IF(J66="",", Firm","")&amp;IF(K66="",", Client","")&amp;IF(M66="",", Date of Instruction","")&amp;IF(N66="",", Instruction Type","")&amp;IF(O66="",", Reinstruction","")&amp;IF(AND(I66="Allocated",Q66=""),", Investigator","")&amp;IF(AND(I66="Allocated",R66=""),", Date Assigned","")&amp;IF(AND(U66="Yes",V66=""),", Licence Check Notes",""),", ","",1))</f>
        <v/>
      </c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2">
        <f>IF(A67="","",IF(OR(A67="",B67="",C67="",E67="",F67="",I67="",J67="",K67="",M67="",N67="",O67="",AND(I67="Allocated",OR(Q67="",R67="")),AND(U67="Yes",V67="")),"Incomplete","Ready"))</f>
        <v/>
      </c>
      <c r="X67" s="23">
        <f>IF(W67&lt;&gt;"Incomplete","",SUBSTITUTE(IF(B67="",", Street Address","")&amp;IF(C67="",", City","")&amp;IF(E67="",", Postcode","")&amp;IF(F67="",", Licensing Authority","")&amp;IF(I67="",", Status","")&amp;IF(J67="",", Firm","")&amp;IF(K67="",", Client","")&amp;IF(M67="",", Date of Instruction","")&amp;IF(N67="",", Instruction Type","")&amp;IF(O67="",", Reinstruction","")&amp;IF(AND(I67="Allocated",Q67=""),", Investigator","")&amp;IF(AND(I67="Allocated",R67=""),", Date Assigned","")&amp;IF(AND(U67="Yes",V67=""),", Licence Check Notes",""),", ","",1))</f>
        <v/>
      </c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2">
        <f>IF(A68="","",IF(OR(A68="",B68="",C68="",E68="",F68="",I68="",J68="",K68="",M68="",N68="",O68="",AND(I68="Allocated",OR(Q68="",R68="")),AND(U68="Yes",V68="")),"Incomplete","Ready"))</f>
        <v/>
      </c>
      <c r="X68" s="23">
        <f>IF(W68&lt;&gt;"Incomplete","",SUBSTITUTE(IF(B68="",", Street Address","")&amp;IF(C68="",", City","")&amp;IF(E68="",", Postcode","")&amp;IF(F68="",", Licensing Authority","")&amp;IF(I68="",", Status","")&amp;IF(J68="",", Firm","")&amp;IF(K68="",", Client","")&amp;IF(M68="",", Date of Instruction","")&amp;IF(N68="",", Instruction Type","")&amp;IF(O68="",", Reinstruction","")&amp;IF(AND(I68="Allocated",Q68=""),", Investigator","")&amp;IF(AND(I68="Allocated",R68=""),", Date Assigned","")&amp;IF(AND(U68="Yes",V68=""),", Licence Check Notes",""),", ","",1))</f>
        <v/>
      </c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2">
        <f>IF(A69="","",IF(OR(A69="",B69="",C69="",E69="",F69="",I69="",J69="",K69="",M69="",N69="",O69="",AND(I69="Allocated",OR(Q69="",R69="")),AND(U69="Yes",V69="")),"Incomplete","Ready"))</f>
        <v/>
      </c>
      <c r="X69" s="23">
        <f>IF(W69&lt;&gt;"Incomplete","",SUBSTITUTE(IF(B69="",", Street Address","")&amp;IF(C69="",", City","")&amp;IF(E69="",", Postcode","")&amp;IF(F69="",", Licensing Authority","")&amp;IF(I69="",", Status","")&amp;IF(J69="",", Firm","")&amp;IF(K69="",", Client","")&amp;IF(M69="",", Date of Instruction","")&amp;IF(N69="",", Instruction Type","")&amp;IF(O69="",", Reinstruction","")&amp;IF(AND(I69="Allocated",Q69=""),", Investigator","")&amp;IF(AND(I69="Allocated",R69=""),", Date Assigned","")&amp;IF(AND(U69="Yes",V69=""),", Licence Check Notes",""),", ","",1))</f>
        <v/>
      </c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2">
        <f>IF(A70="","",IF(OR(A70="",B70="",C70="",E70="",F70="",I70="",J70="",K70="",M70="",N70="",O70="",AND(I70="Allocated",OR(Q70="",R70="")),AND(U70="Yes",V70="")),"Incomplete","Ready"))</f>
        <v/>
      </c>
      <c r="X70" s="23">
        <f>IF(W70&lt;&gt;"Incomplete","",SUBSTITUTE(IF(B70="",", Street Address","")&amp;IF(C70="",", City","")&amp;IF(E70="",", Postcode","")&amp;IF(F70="",", Licensing Authority","")&amp;IF(I70="",", Status","")&amp;IF(J70="",", Firm","")&amp;IF(K70="",", Client","")&amp;IF(M70="",", Date of Instruction","")&amp;IF(N70="",", Instruction Type","")&amp;IF(O70="",", Reinstruction","")&amp;IF(AND(I70="Allocated",Q70=""),", Investigator","")&amp;IF(AND(I70="Allocated",R70=""),", Date Assigned","")&amp;IF(AND(U70="Yes",V70=""),", Licence Check Notes",""),", ","",1))</f>
        <v/>
      </c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2">
        <f>IF(A71="","",IF(OR(A71="",B71="",C71="",E71="",F71="",I71="",J71="",K71="",M71="",N71="",O71="",AND(I71="Allocated",OR(Q71="",R71="")),AND(U71="Yes",V71="")),"Incomplete","Ready"))</f>
        <v/>
      </c>
      <c r="X71" s="23">
        <f>IF(W71&lt;&gt;"Incomplete","",SUBSTITUTE(IF(B71="",", Street Address","")&amp;IF(C71="",", City","")&amp;IF(E71="",", Postcode","")&amp;IF(F71="",", Licensing Authority","")&amp;IF(I71="",", Status","")&amp;IF(J71="",", Firm","")&amp;IF(K71="",", Client","")&amp;IF(M71="",", Date of Instruction","")&amp;IF(N71="",", Instruction Type","")&amp;IF(O71="",", Reinstruction","")&amp;IF(AND(I71="Allocated",Q71=""),", Investigator","")&amp;IF(AND(I71="Allocated",R71=""),", Date Assigned","")&amp;IF(AND(U71="Yes",V71=""),", Licence Check Notes",""),", ","",1))</f>
        <v/>
      </c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2">
        <f>IF(A72="","",IF(OR(A72="",B72="",C72="",E72="",F72="",I72="",J72="",K72="",M72="",N72="",O72="",AND(I72="Allocated",OR(Q72="",R72="")),AND(U72="Yes",V72="")),"Incomplete","Ready"))</f>
        <v/>
      </c>
      <c r="X72" s="23">
        <f>IF(W72&lt;&gt;"Incomplete","",SUBSTITUTE(IF(B72="",", Street Address","")&amp;IF(C72="",", City","")&amp;IF(E72="",", Postcode","")&amp;IF(F72="",", Licensing Authority","")&amp;IF(I72="",", Status","")&amp;IF(J72="",", Firm","")&amp;IF(K72="",", Client","")&amp;IF(M72="",", Date of Instruction","")&amp;IF(N72="",", Instruction Type","")&amp;IF(O72="",", Reinstruction","")&amp;IF(AND(I72="Allocated",Q72=""),", Investigator","")&amp;IF(AND(I72="Allocated",R72=""),", Date Assigned","")&amp;IF(AND(U72="Yes",V72=""),", Licence Check Notes",""),", ","",1))</f>
        <v/>
      </c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2">
        <f>IF(A73="","",IF(OR(A73="",B73="",C73="",E73="",F73="",I73="",J73="",K73="",M73="",N73="",O73="",AND(I73="Allocated",OR(Q73="",R73="")),AND(U73="Yes",V73="")),"Incomplete","Ready"))</f>
        <v/>
      </c>
      <c r="X73" s="23">
        <f>IF(W73&lt;&gt;"Incomplete","",SUBSTITUTE(IF(B73="",", Street Address","")&amp;IF(C73="",", City","")&amp;IF(E73="",", Postcode","")&amp;IF(F73="",", Licensing Authority","")&amp;IF(I73="",", Status","")&amp;IF(J73="",", Firm","")&amp;IF(K73="",", Client","")&amp;IF(M73="",", Date of Instruction","")&amp;IF(N73="",", Instruction Type","")&amp;IF(O73="",", Reinstruction","")&amp;IF(AND(I73="Allocated",Q73=""),", Investigator","")&amp;IF(AND(I73="Allocated",R73=""),", Date Assigned","")&amp;IF(AND(U73="Yes",V73=""),", Licence Check Notes",""),", ","",1))</f>
        <v/>
      </c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2">
        <f>IF(A74="","",IF(OR(A74="",B74="",C74="",E74="",F74="",I74="",J74="",K74="",M74="",N74="",O74="",AND(I74="Allocated",OR(Q74="",R74="")),AND(U74="Yes",V74="")),"Incomplete","Ready"))</f>
        <v/>
      </c>
      <c r="X74" s="23">
        <f>IF(W74&lt;&gt;"Incomplete","",SUBSTITUTE(IF(B74="",", Street Address","")&amp;IF(C74="",", City","")&amp;IF(E74="",", Postcode","")&amp;IF(F74="",", Licensing Authority","")&amp;IF(I74="",", Status","")&amp;IF(J74="",", Firm","")&amp;IF(K74="",", Client","")&amp;IF(M74="",", Date of Instruction","")&amp;IF(N74="",", Instruction Type","")&amp;IF(O74="",", Reinstruction","")&amp;IF(AND(I74="Allocated",Q74=""),", Investigator","")&amp;IF(AND(I74="Allocated",R74=""),", Date Assigned","")&amp;IF(AND(U74="Yes",V74=""),", Licence Check Notes",""),", ","",1))</f>
        <v/>
      </c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2">
        <f>IF(A75="","",IF(OR(A75="",B75="",C75="",E75="",F75="",I75="",J75="",K75="",M75="",N75="",O75="",AND(I75="Allocated",OR(Q75="",R75="")),AND(U75="Yes",V75="")),"Incomplete","Ready"))</f>
        <v/>
      </c>
      <c r="X75" s="23">
        <f>IF(W75&lt;&gt;"Incomplete","",SUBSTITUTE(IF(B75="",", Street Address","")&amp;IF(C75="",", City","")&amp;IF(E75="",", Postcode","")&amp;IF(F75="",", Licensing Authority","")&amp;IF(I75="",", Status","")&amp;IF(J75="",", Firm","")&amp;IF(K75="",", Client","")&amp;IF(M75="",", Date of Instruction","")&amp;IF(N75="",", Instruction Type","")&amp;IF(O75="",", Reinstruction","")&amp;IF(AND(I75="Allocated",Q75=""),", Investigator","")&amp;IF(AND(I75="Allocated",R75=""),", Date Assigned","")&amp;IF(AND(U75="Yes",V75=""),", Licence Check Notes",""),", ","",1))</f>
        <v/>
      </c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2">
        <f>IF(A76="","",IF(OR(A76="",B76="",C76="",E76="",F76="",I76="",J76="",K76="",M76="",N76="",O76="",AND(I76="Allocated",OR(Q76="",R76="")),AND(U76="Yes",V76="")),"Incomplete","Ready"))</f>
        <v/>
      </c>
      <c r="X76" s="23">
        <f>IF(W76&lt;&gt;"Incomplete","",SUBSTITUTE(IF(B76="",", Street Address","")&amp;IF(C76="",", City","")&amp;IF(E76="",", Postcode","")&amp;IF(F76="",", Licensing Authority","")&amp;IF(I76="",", Status","")&amp;IF(J76="",", Firm","")&amp;IF(K76="",", Client","")&amp;IF(M76="",", Date of Instruction","")&amp;IF(N76="",", Instruction Type","")&amp;IF(O76="",", Reinstruction","")&amp;IF(AND(I76="Allocated",Q76=""),", Investigator","")&amp;IF(AND(I76="Allocated",R76=""),", Date Assigned","")&amp;IF(AND(U76="Yes",V76=""),", Licence Check Notes",""),", ","",1))</f>
        <v/>
      </c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2">
        <f>IF(A77="","",IF(OR(A77="",B77="",C77="",E77="",F77="",I77="",J77="",K77="",M77="",N77="",O77="",AND(I77="Allocated",OR(Q77="",R77="")),AND(U77="Yes",V77="")),"Incomplete","Ready"))</f>
        <v/>
      </c>
      <c r="X77" s="23">
        <f>IF(W77&lt;&gt;"Incomplete","",SUBSTITUTE(IF(B77="",", Street Address","")&amp;IF(C77="",", City","")&amp;IF(E77="",", Postcode","")&amp;IF(F77="",", Licensing Authority","")&amp;IF(I77="",", Status","")&amp;IF(J77="",", Firm","")&amp;IF(K77="",", Client","")&amp;IF(M77="",", Date of Instruction","")&amp;IF(N77="",", Instruction Type","")&amp;IF(O77="",", Reinstruction","")&amp;IF(AND(I77="Allocated",Q77=""),", Investigator","")&amp;IF(AND(I77="Allocated",R77=""),", Date Assigned","")&amp;IF(AND(U77="Yes",V77=""),", Licence Check Notes",""),", ","",1))</f>
        <v/>
      </c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2">
        <f>IF(A78="","",IF(OR(A78="",B78="",C78="",E78="",F78="",I78="",J78="",K78="",M78="",N78="",O78="",AND(I78="Allocated",OR(Q78="",R78="")),AND(U78="Yes",V78="")),"Incomplete","Ready"))</f>
        <v/>
      </c>
      <c r="X78" s="23">
        <f>IF(W78&lt;&gt;"Incomplete","",SUBSTITUTE(IF(B78="",", Street Address","")&amp;IF(C78="",", City","")&amp;IF(E78="",", Postcode","")&amp;IF(F78="",", Licensing Authority","")&amp;IF(I78="",", Status","")&amp;IF(J78="",", Firm","")&amp;IF(K78="",", Client","")&amp;IF(M78="",", Date of Instruction","")&amp;IF(N78="",", Instruction Type","")&amp;IF(O78="",", Reinstruction","")&amp;IF(AND(I78="Allocated",Q78=""),", Investigator","")&amp;IF(AND(I78="Allocated",R78=""),", Date Assigned","")&amp;IF(AND(U78="Yes",V78=""),", Licence Check Notes",""),", ","",1))</f>
        <v/>
      </c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2">
        <f>IF(A79="","",IF(OR(A79="",B79="",C79="",E79="",F79="",I79="",J79="",K79="",M79="",N79="",O79="",AND(I79="Allocated",OR(Q79="",R79="")),AND(U79="Yes",V79="")),"Incomplete","Ready"))</f>
        <v/>
      </c>
      <c r="X79" s="23">
        <f>IF(W79&lt;&gt;"Incomplete","",SUBSTITUTE(IF(B79="",", Street Address","")&amp;IF(C79="",", City","")&amp;IF(E79="",", Postcode","")&amp;IF(F79="",", Licensing Authority","")&amp;IF(I79="",", Status","")&amp;IF(J79="",", Firm","")&amp;IF(K79="",", Client","")&amp;IF(M79="",", Date of Instruction","")&amp;IF(N79="",", Instruction Type","")&amp;IF(O79="",", Reinstruction","")&amp;IF(AND(I79="Allocated",Q79=""),", Investigator","")&amp;IF(AND(I79="Allocated",R79=""),", Date Assigned","")&amp;IF(AND(U79="Yes",V79=""),", Licence Check Notes",""),", ","",1))</f>
        <v/>
      </c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2">
        <f>IF(A80="","",IF(OR(A80="",B80="",C80="",E80="",F80="",I80="",J80="",K80="",M80="",N80="",O80="",AND(I80="Allocated",OR(Q80="",R80="")),AND(U80="Yes",V80="")),"Incomplete","Ready"))</f>
        <v/>
      </c>
      <c r="X80" s="23">
        <f>IF(W80&lt;&gt;"Incomplete","",SUBSTITUTE(IF(B80="",", Street Address","")&amp;IF(C80="",", City","")&amp;IF(E80="",", Postcode","")&amp;IF(F80="",", Licensing Authority","")&amp;IF(I80="",", Status","")&amp;IF(J80="",", Firm","")&amp;IF(K80="",", Client","")&amp;IF(M80="",", Date of Instruction","")&amp;IF(N80="",", Instruction Type","")&amp;IF(O80="",", Reinstruction","")&amp;IF(AND(I80="Allocated",Q80=""),", Investigator","")&amp;IF(AND(I80="Allocated",R80=""),", Date Assigned","")&amp;IF(AND(U80="Yes",V80=""),", Licence Check Notes",""),", ","",1))</f>
        <v/>
      </c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2">
        <f>IF(A81="","",IF(OR(A81="",B81="",C81="",E81="",F81="",I81="",J81="",K81="",M81="",N81="",O81="",AND(I81="Allocated",OR(Q81="",R81="")),AND(U81="Yes",V81="")),"Incomplete","Ready"))</f>
        <v/>
      </c>
      <c r="X81" s="23">
        <f>IF(W81&lt;&gt;"Incomplete","",SUBSTITUTE(IF(B81="",", Street Address","")&amp;IF(C81="",", City","")&amp;IF(E81="",", Postcode","")&amp;IF(F81="",", Licensing Authority","")&amp;IF(I81="",", Status","")&amp;IF(J81="",", Firm","")&amp;IF(K81="",", Client","")&amp;IF(M81="",", Date of Instruction","")&amp;IF(N81="",", Instruction Type","")&amp;IF(O81="",", Reinstruction","")&amp;IF(AND(I81="Allocated",Q81=""),", Investigator","")&amp;IF(AND(I81="Allocated",R81=""),", Date Assigned","")&amp;IF(AND(U81="Yes",V81=""),", Licence Check Notes",""),", ","",1))</f>
        <v/>
      </c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2">
        <f>IF(A82="","",IF(OR(A82="",B82="",C82="",E82="",F82="",I82="",J82="",K82="",M82="",N82="",O82="",AND(I82="Allocated",OR(Q82="",R82="")),AND(U82="Yes",V82="")),"Incomplete","Ready"))</f>
        <v/>
      </c>
      <c r="X82" s="23">
        <f>IF(W82&lt;&gt;"Incomplete","",SUBSTITUTE(IF(B82="",", Street Address","")&amp;IF(C82="",", City","")&amp;IF(E82="",", Postcode","")&amp;IF(F82="",", Licensing Authority","")&amp;IF(I82="",", Status","")&amp;IF(J82="",", Firm","")&amp;IF(K82="",", Client","")&amp;IF(M82="",", Date of Instruction","")&amp;IF(N82="",", Instruction Type","")&amp;IF(O82="",", Reinstruction","")&amp;IF(AND(I82="Allocated",Q82=""),", Investigator","")&amp;IF(AND(I82="Allocated",R82=""),", Date Assigned","")&amp;IF(AND(U82="Yes",V82=""),", Licence Check Notes",""),", ","",1))</f>
        <v/>
      </c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2">
        <f>IF(A83="","",IF(OR(A83="",B83="",C83="",E83="",F83="",I83="",J83="",K83="",M83="",N83="",O83="",AND(I83="Allocated",OR(Q83="",R83="")),AND(U83="Yes",V83="")),"Incomplete","Ready"))</f>
        <v/>
      </c>
      <c r="X83" s="23">
        <f>IF(W83&lt;&gt;"Incomplete","",SUBSTITUTE(IF(B83="",", Street Address","")&amp;IF(C83="",", City","")&amp;IF(E83="",", Postcode","")&amp;IF(F83="",", Licensing Authority","")&amp;IF(I83="",", Status","")&amp;IF(J83="",", Firm","")&amp;IF(K83="",", Client","")&amp;IF(M83="",", Date of Instruction","")&amp;IF(N83="",", Instruction Type","")&amp;IF(O83="",", Reinstruction","")&amp;IF(AND(I83="Allocated",Q83=""),", Investigator","")&amp;IF(AND(I83="Allocated",R83=""),", Date Assigned","")&amp;IF(AND(U83="Yes",V83=""),", Licence Check Notes",""),", ","",1))</f>
        <v/>
      </c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2">
        <f>IF(A84="","",IF(OR(A84="",B84="",C84="",E84="",F84="",I84="",J84="",K84="",M84="",N84="",O84="",AND(I84="Allocated",OR(Q84="",R84="")),AND(U84="Yes",V84="")),"Incomplete","Ready"))</f>
        <v/>
      </c>
      <c r="X84" s="23">
        <f>IF(W84&lt;&gt;"Incomplete","",SUBSTITUTE(IF(B84="",", Street Address","")&amp;IF(C84="",", City","")&amp;IF(E84="",", Postcode","")&amp;IF(F84="",", Licensing Authority","")&amp;IF(I84="",", Status","")&amp;IF(J84="",", Firm","")&amp;IF(K84="",", Client","")&amp;IF(M84="",", Date of Instruction","")&amp;IF(N84="",", Instruction Type","")&amp;IF(O84="",", Reinstruction","")&amp;IF(AND(I84="Allocated",Q84=""),", Investigator","")&amp;IF(AND(I84="Allocated",R84=""),", Date Assigned","")&amp;IF(AND(U84="Yes",V84=""),", Licence Check Notes",""),", ","",1))</f>
        <v/>
      </c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2">
        <f>IF(A85="","",IF(OR(A85="",B85="",C85="",E85="",F85="",I85="",J85="",K85="",M85="",N85="",O85="",AND(I85="Allocated",OR(Q85="",R85="")),AND(U85="Yes",V85="")),"Incomplete","Ready"))</f>
        <v/>
      </c>
      <c r="X85" s="23">
        <f>IF(W85&lt;&gt;"Incomplete","",SUBSTITUTE(IF(B85="",", Street Address","")&amp;IF(C85="",", City","")&amp;IF(E85="",", Postcode","")&amp;IF(F85="",", Licensing Authority","")&amp;IF(I85="",", Status","")&amp;IF(J85="",", Firm","")&amp;IF(K85="",", Client","")&amp;IF(M85="",", Date of Instruction","")&amp;IF(N85="",", Instruction Type","")&amp;IF(O85="",", Reinstruction","")&amp;IF(AND(I85="Allocated",Q85=""),", Investigator","")&amp;IF(AND(I85="Allocated",R85=""),", Date Assigned","")&amp;IF(AND(U85="Yes",V85=""),", Licence Check Notes",""),", ","",1))</f>
        <v/>
      </c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2">
        <f>IF(A86="","",IF(OR(A86="",B86="",C86="",E86="",F86="",I86="",J86="",K86="",M86="",N86="",O86="",AND(I86="Allocated",OR(Q86="",R86="")),AND(U86="Yes",V86="")),"Incomplete","Ready"))</f>
        <v/>
      </c>
      <c r="X86" s="23">
        <f>IF(W86&lt;&gt;"Incomplete","",SUBSTITUTE(IF(B86="",", Street Address","")&amp;IF(C86="",", City","")&amp;IF(E86="",", Postcode","")&amp;IF(F86="",", Licensing Authority","")&amp;IF(I86="",", Status","")&amp;IF(J86="",", Firm","")&amp;IF(K86="",", Client","")&amp;IF(M86="",", Date of Instruction","")&amp;IF(N86="",", Instruction Type","")&amp;IF(O86="",", Reinstruction","")&amp;IF(AND(I86="Allocated",Q86=""),", Investigator","")&amp;IF(AND(I86="Allocated",R86=""),", Date Assigned","")&amp;IF(AND(U86="Yes",V86=""),", Licence Check Notes",""),", ","",1))</f>
        <v/>
      </c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2">
        <f>IF(A87="","",IF(OR(A87="",B87="",C87="",E87="",F87="",I87="",J87="",K87="",M87="",N87="",O87="",AND(I87="Allocated",OR(Q87="",R87="")),AND(U87="Yes",V87="")),"Incomplete","Ready"))</f>
        <v/>
      </c>
      <c r="X87" s="23">
        <f>IF(W87&lt;&gt;"Incomplete","",SUBSTITUTE(IF(B87="",", Street Address","")&amp;IF(C87="",", City","")&amp;IF(E87="",", Postcode","")&amp;IF(F87="",", Licensing Authority","")&amp;IF(I87="",", Status","")&amp;IF(J87="",", Firm","")&amp;IF(K87="",", Client","")&amp;IF(M87="",", Date of Instruction","")&amp;IF(N87="",", Instruction Type","")&amp;IF(O87="",", Reinstruction","")&amp;IF(AND(I87="Allocated",Q87=""),", Investigator","")&amp;IF(AND(I87="Allocated",R87=""),", Date Assigned","")&amp;IF(AND(U87="Yes",V87=""),", Licence Check Notes",""),", ","",1))</f>
        <v/>
      </c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2">
        <f>IF(A88="","",IF(OR(A88="",B88="",C88="",E88="",F88="",I88="",J88="",K88="",M88="",N88="",O88="",AND(I88="Allocated",OR(Q88="",R88="")),AND(U88="Yes",V88="")),"Incomplete","Ready"))</f>
        <v/>
      </c>
      <c r="X88" s="23">
        <f>IF(W88&lt;&gt;"Incomplete","",SUBSTITUTE(IF(B88="",", Street Address","")&amp;IF(C88="",", City","")&amp;IF(E88="",", Postcode","")&amp;IF(F88="",", Licensing Authority","")&amp;IF(I88="",", Status","")&amp;IF(J88="",", Firm","")&amp;IF(K88="",", Client","")&amp;IF(M88="",", Date of Instruction","")&amp;IF(N88="",", Instruction Type","")&amp;IF(O88="",", Reinstruction","")&amp;IF(AND(I88="Allocated",Q88=""),", Investigator","")&amp;IF(AND(I88="Allocated",R88=""),", Date Assigned","")&amp;IF(AND(U88="Yes",V88=""),", Licence Check Notes",""),", ","",1))</f>
        <v/>
      </c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2">
        <f>IF(A89="","",IF(OR(A89="",B89="",C89="",E89="",F89="",I89="",J89="",K89="",M89="",N89="",O89="",AND(I89="Allocated",OR(Q89="",R89="")),AND(U89="Yes",V89="")),"Incomplete","Ready"))</f>
        <v/>
      </c>
      <c r="X89" s="23">
        <f>IF(W89&lt;&gt;"Incomplete","",SUBSTITUTE(IF(B89="",", Street Address","")&amp;IF(C89="",", City","")&amp;IF(E89="",", Postcode","")&amp;IF(F89="",", Licensing Authority","")&amp;IF(I89="",", Status","")&amp;IF(J89="",", Firm","")&amp;IF(K89="",", Client","")&amp;IF(M89="",", Date of Instruction","")&amp;IF(N89="",", Instruction Type","")&amp;IF(O89="",", Reinstruction","")&amp;IF(AND(I89="Allocated",Q89=""),", Investigator","")&amp;IF(AND(I89="Allocated",R89=""),", Date Assigned","")&amp;IF(AND(U89="Yes",V89=""),", Licence Check Notes",""),", ","",1))</f>
        <v/>
      </c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2">
        <f>IF(A90="","",IF(OR(A90="",B90="",C90="",E90="",F90="",I90="",J90="",K90="",M90="",N90="",O90="",AND(I90="Allocated",OR(Q90="",R90="")),AND(U90="Yes",V90="")),"Incomplete","Ready"))</f>
        <v/>
      </c>
      <c r="X90" s="23">
        <f>IF(W90&lt;&gt;"Incomplete","",SUBSTITUTE(IF(B90="",", Street Address","")&amp;IF(C90="",", City","")&amp;IF(E90="",", Postcode","")&amp;IF(F90="",", Licensing Authority","")&amp;IF(I90="",", Status","")&amp;IF(J90="",", Firm","")&amp;IF(K90="",", Client","")&amp;IF(M90="",", Date of Instruction","")&amp;IF(N90="",", Instruction Type","")&amp;IF(O90="",", Reinstruction","")&amp;IF(AND(I90="Allocated",Q90=""),", Investigator","")&amp;IF(AND(I90="Allocated",R90=""),", Date Assigned","")&amp;IF(AND(U90="Yes",V90=""),", Licence Check Notes",""),", ","",1))</f>
        <v/>
      </c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2">
        <f>IF(A91="","",IF(OR(A91="",B91="",C91="",E91="",F91="",I91="",J91="",K91="",M91="",N91="",O91="",AND(I91="Allocated",OR(Q91="",R91="")),AND(U91="Yes",V91="")),"Incomplete","Ready"))</f>
        <v/>
      </c>
      <c r="X91" s="23">
        <f>IF(W91&lt;&gt;"Incomplete","",SUBSTITUTE(IF(B91="",", Street Address","")&amp;IF(C91="",", City","")&amp;IF(E91="",", Postcode","")&amp;IF(F91="",", Licensing Authority","")&amp;IF(I91="",", Status","")&amp;IF(J91="",", Firm","")&amp;IF(K91="",", Client","")&amp;IF(M91="",", Date of Instruction","")&amp;IF(N91="",", Instruction Type","")&amp;IF(O91="",", Reinstruction","")&amp;IF(AND(I91="Allocated",Q91=""),", Investigator","")&amp;IF(AND(I91="Allocated",R91=""),", Date Assigned","")&amp;IF(AND(U91="Yes",V91=""),", Licence Check Notes",""),", ","",1))</f>
        <v/>
      </c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2">
        <f>IF(A92="","",IF(OR(A92="",B92="",C92="",E92="",F92="",I92="",J92="",K92="",M92="",N92="",O92="",AND(I92="Allocated",OR(Q92="",R92="")),AND(U92="Yes",V92="")),"Incomplete","Ready"))</f>
        <v/>
      </c>
      <c r="X92" s="23">
        <f>IF(W92&lt;&gt;"Incomplete","",SUBSTITUTE(IF(B92="",", Street Address","")&amp;IF(C92="",", City","")&amp;IF(E92="",", Postcode","")&amp;IF(F92="",", Licensing Authority","")&amp;IF(I92="",", Status","")&amp;IF(J92="",", Firm","")&amp;IF(K92="",", Client","")&amp;IF(M92="",", Date of Instruction","")&amp;IF(N92="",", Instruction Type","")&amp;IF(O92="",", Reinstruction","")&amp;IF(AND(I92="Allocated",Q92=""),", Investigator","")&amp;IF(AND(I92="Allocated",R92=""),", Date Assigned","")&amp;IF(AND(U92="Yes",V92=""),", Licence Check Notes",""),", ","",1))</f>
        <v/>
      </c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2">
        <f>IF(A93="","",IF(OR(A93="",B93="",C93="",E93="",F93="",I93="",J93="",K93="",M93="",N93="",O93="",AND(I93="Allocated",OR(Q93="",R93="")),AND(U93="Yes",V93="")),"Incomplete","Ready"))</f>
        <v/>
      </c>
      <c r="X93" s="23">
        <f>IF(W93&lt;&gt;"Incomplete","",SUBSTITUTE(IF(B93="",", Street Address","")&amp;IF(C93="",", City","")&amp;IF(E93="",", Postcode","")&amp;IF(F93="",", Licensing Authority","")&amp;IF(I93="",", Status","")&amp;IF(J93="",", Firm","")&amp;IF(K93="",", Client","")&amp;IF(M93="",", Date of Instruction","")&amp;IF(N93="",", Instruction Type","")&amp;IF(O93="",", Reinstruction","")&amp;IF(AND(I93="Allocated",Q93=""),", Investigator","")&amp;IF(AND(I93="Allocated",R93=""),", Date Assigned","")&amp;IF(AND(U93="Yes",V93=""),", Licence Check Notes",""),", ","",1))</f>
        <v/>
      </c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2">
        <f>IF(A94="","",IF(OR(A94="",B94="",C94="",E94="",F94="",I94="",J94="",K94="",M94="",N94="",O94="",AND(I94="Allocated",OR(Q94="",R94="")),AND(U94="Yes",V94="")),"Incomplete","Ready"))</f>
        <v/>
      </c>
      <c r="X94" s="23">
        <f>IF(W94&lt;&gt;"Incomplete","",SUBSTITUTE(IF(B94="",", Street Address","")&amp;IF(C94="",", City","")&amp;IF(E94="",", Postcode","")&amp;IF(F94="",", Licensing Authority","")&amp;IF(I94="",", Status","")&amp;IF(J94="",", Firm","")&amp;IF(K94="",", Client","")&amp;IF(M94="",", Date of Instruction","")&amp;IF(N94="",", Instruction Type","")&amp;IF(O94="",", Reinstruction","")&amp;IF(AND(I94="Allocated",Q94=""),", Investigator","")&amp;IF(AND(I94="Allocated",R94=""),", Date Assigned","")&amp;IF(AND(U94="Yes",V94=""),", Licence Check Notes",""),", ","",1))</f>
        <v/>
      </c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2">
        <f>IF(A95="","",IF(OR(A95="",B95="",C95="",E95="",F95="",I95="",J95="",K95="",M95="",N95="",O95="",AND(I95="Allocated",OR(Q95="",R95="")),AND(U95="Yes",V95="")),"Incomplete","Ready"))</f>
        <v/>
      </c>
      <c r="X95" s="23">
        <f>IF(W95&lt;&gt;"Incomplete","",SUBSTITUTE(IF(B95="",", Street Address","")&amp;IF(C95="",", City","")&amp;IF(E95="",", Postcode","")&amp;IF(F95="",", Licensing Authority","")&amp;IF(I95="",", Status","")&amp;IF(J95="",", Firm","")&amp;IF(K95="",", Client","")&amp;IF(M95="",", Date of Instruction","")&amp;IF(N95="",", Instruction Type","")&amp;IF(O95="",", Reinstruction","")&amp;IF(AND(I95="Allocated",Q95=""),", Investigator","")&amp;IF(AND(I95="Allocated",R95=""),", Date Assigned","")&amp;IF(AND(U95="Yes",V95=""),", Licence Check Notes",""),", ","",1))</f>
        <v/>
      </c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2">
        <f>IF(A96="","",IF(OR(A96="",B96="",C96="",E96="",F96="",I96="",J96="",K96="",M96="",N96="",O96="",AND(I96="Allocated",OR(Q96="",R96="")),AND(U96="Yes",V96="")),"Incomplete","Ready"))</f>
        <v/>
      </c>
      <c r="X96" s="23">
        <f>IF(W96&lt;&gt;"Incomplete","",SUBSTITUTE(IF(B96="",", Street Address","")&amp;IF(C96="",", City","")&amp;IF(E96="",", Postcode","")&amp;IF(F96="",", Licensing Authority","")&amp;IF(I96="",", Status","")&amp;IF(J96="",", Firm","")&amp;IF(K96="",", Client","")&amp;IF(M96="",", Date of Instruction","")&amp;IF(N96="",", Instruction Type","")&amp;IF(O96="",", Reinstruction","")&amp;IF(AND(I96="Allocated",Q96=""),", Investigator","")&amp;IF(AND(I96="Allocated",R96=""),", Date Assigned","")&amp;IF(AND(U96="Yes",V96=""),", Licence Check Notes",""),", ","",1))</f>
        <v/>
      </c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2">
        <f>IF(A97="","",IF(OR(A97="",B97="",C97="",E97="",F97="",I97="",J97="",K97="",M97="",N97="",O97="",AND(I97="Allocated",OR(Q97="",R97="")),AND(U97="Yes",V97="")),"Incomplete","Ready"))</f>
        <v/>
      </c>
      <c r="X97" s="23">
        <f>IF(W97&lt;&gt;"Incomplete","",SUBSTITUTE(IF(B97="",", Street Address","")&amp;IF(C97="",", City","")&amp;IF(E97="",", Postcode","")&amp;IF(F97="",", Licensing Authority","")&amp;IF(I97="",", Status","")&amp;IF(J97="",", Firm","")&amp;IF(K97="",", Client","")&amp;IF(M97="",", Date of Instruction","")&amp;IF(N97="",", Instruction Type","")&amp;IF(O97="",", Reinstruction","")&amp;IF(AND(I97="Allocated",Q97=""),", Investigator","")&amp;IF(AND(I97="Allocated",R97=""),", Date Assigned","")&amp;IF(AND(U97="Yes",V97=""),", Licence Check Notes",""),", ","",1))</f>
        <v/>
      </c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2">
        <f>IF(A98="","",IF(OR(A98="",B98="",C98="",E98="",F98="",I98="",J98="",K98="",M98="",N98="",O98="",AND(I98="Allocated",OR(Q98="",R98="")),AND(U98="Yes",V98="")),"Incomplete","Ready"))</f>
        <v/>
      </c>
      <c r="X98" s="23">
        <f>IF(W98&lt;&gt;"Incomplete","",SUBSTITUTE(IF(B98="",", Street Address","")&amp;IF(C98="",", City","")&amp;IF(E98="",", Postcode","")&amp;IF(F98="",", Licensing Authority","")&amp;IF(I98="",", Status","")&amp;IF(J98="",", Firm","")&amp;IF(K98="",", Client","")&amp;IF(M98="",", Date of Instruction","")&amp;IF(N98="",", Instruction Type","")&amp;IF(O98="",", Reinstruction","")&amp;IF(AND(I98="Allocated",Q98=""),", Investigator","")&amp;IF(AND(I98="Allocated",R98=""),", Date Assigned","")&amp;IF(AND(U98="Yes",V98=""),", Licence Check Notes",""),", ","",1))</f>
        <v/>
      </c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2">
        <f>IF(A99="","",IF(OR(A99="",B99="",C99="",E99="",F99="",I99="",J99="",K99="",M99="",N99="",O99="",AND(I99="Allocated",OR(Q99="",R99="")),AND(U99="Yes",V99="")),"Incomplete","Ready"))</f>
        <v/>
      </c>
      <c r="X99" s="23">
        <f>IF(W99&lt;&gt;"Incomplete","",SUBSTITUTE(IF(B99="",", Street Address","")&amp;IF(C99="",", City","")&amp;IF(E99="",", Postcode","")&amp;IF(F99="",", Licensing Authority","")&amp;IF(I99="",", Status","")&amp;IF(J99="",", Firm","")&amp;IF(K99="",", Client","")&amp;IF(M99="",", Date of Instruction","")&amp;IF(N99="",", Instruction Type","")&amp;IF(O99="",", Reinstruction","")&amp;IF(AND(I99="Allocated",Q99=""),", Investigator","")&amp;IF(AND(I99="Allocated",R99=""),", Date Assigned","")&amp;IF(AND(U99="Yes",V99=""),", Licence Check Notes",""),", ","",1))</f>
        <v/>
      </c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2">
        <f>IF(A100="","",IF(OR(A100="",B100="",C100="",E100="",F100="",I100="",J100="",K100="",M100="",N100="",O100="",AND(I100="Allocated",OR(Q100="",R100="")),AND(U100="Yes",V100="")),"Incomplete","Ready"))</f>
        <v/>
      </c>
      <c r="X100" s="23">
        <f>IF(W100&lt;&gt;"Incomplete","",SUBSTITUTE(IF(B100="",", Street Address","")&amp;IF(C100="",", City","")&amp;IF(E100="",", Postcode","")&amp;IF(F100="",", Licensing Authority","")&amp;IF(I100="",", Status","")&amp;IF(J100="",", Firm","")&amp;IF(K100="",", Client","")&amp;IF(M100="",", Date of Instruction","")&amp;IF(N100="",", Instruction Type","")&amp;IF(O100="",", Reinstruction","")&amp;IF(AND(I100="Allocated",Q100=""),", Investigator","")&amp;IF(AND(I100="Allocated",R100=""),", Date Assigned","")&amp;IF(AND(U100="Yes",V100=""),", Licence Check Notes",""),", ","",1))</f>
        <v/>
      </c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2">
        <f>IF(A101="","",IF(OR(A101="",B101="",C101="",E101="",F101="",I101="",J101="",K101="",M101="",N101="",O101="",AND(I101="Allocated",OR(Q101="",R101="")),AND(U101="Yes",V101="")),"Incomplete","Ready"))</f>
        <v/>
      </c>
      <c r="X101" s="23">
        <f>IF(W101&lt;&gt;"Incomplete","",SUBSTITUTE(IF(B101="",", Street Address","")&amp;IF(C101="",", City","")&amp;IF(E101="",", Postcode","")&amp;IF(F101="",", Licensing Authority","")&amp;IF(I101="",", Status","")&amp;IF(J101="",", Firm","")&amp;IF(K101="",", Client","")&amp;IF(M101="",", Date of Instruction","")&amp;IF(N101="",", Instruction Type","")&amp;IF(O101="",", Reinstruction","")&amp;IF(AND(I101="Allocated",Q101=""),", Investigator","")&amp;IF(AND(I101="Allocated",R101=""),", Date Assigned","")&amp;IF(AND(U101="Yes",V101=""),", Licence Check Notes",""),", ","",1))</f>
        <v/>
      </c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2">
        <f>IF(A102="","",IF(OR(A102="",B102="",C102="",E102="",F102="",I102="",J102="",K102="",M102="",N102="",O102="",AND(I102="Allocated",OR(Q102="",R102="")),AND(U102="Yes",V102="")),"Incomplete","Ready"))</f>
        <v/>
      </c>
      <c r="X102" s="23">
        <f>IF(W102&lt;&gt;"Incomplete","",SUBSTITUTE(IF(B102="",", Street Address","")&amp;IF(C102="",", City","")&amp;IF(E102="",", Postcode","")&amp;IF(F102="",", Licensing Authority","")&amp;IF(I102="",", Status","")&amp;IF(J102="",", Firm","")&amp;IF(K102="",", Client","")&amp;IF(M102="",", Date of Instruction","")&amp;IF(N102="",", Instruction Type","")&amp;IF(O102="",", Reinstruction","")&amp;IF(AND(I102="Allocated",Q102=""),", Investigator","")&amp;IF(AND(I102="Allocated",R102=""),", Date Assigned","")&amp;IF(AND(U102="Yes",V102=""),", Licence Check Notes",""),", ","",1))</f>
        <v/>
      </c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2">
        <f>IF(A103="","",IF(OR(A103="",B103="",C103="",E103="",F103="",I103="",J103="",K103="",M103="",N103="",O103="",AND(I103="Allocated",OR(Q103="",R103="")),AND(U103="Yes",V103="")),"Incomplete","Ready"))</f>
        <v/>
      </c>
      <c r="X103" s="23">
        <f>IF(W103&lt;&gt;"Incomplete","",SUBSTITUTE(IF(B103="",", Street Address","")&amp;IF(C103="",", City","")&amp;IF(E103="",", Postcode","")&amp;IF(F103="",", Licensing Authority","")&amp;IF(I103="",", Status","")&amp;IF(J103="",", Firm","")&amp;IF(K103="",", Client","")&amp;IF(M103="",", Date of Instruction","")&amp;IF(N103="",", Instruction Type","")&amp;IF(O103="",", Reinstruction","")&amp;IF(AND(I103="Allocated",Q103=""),", Investigator","")&amp;IF(AND(I103="Allocated",R103=""),", Date Assigned","")&amp;IF(AND(U103="Yes",V103=""),", Licence Check Notes",""),", ","",1))</f>
        <v/>
      </c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2">
        <f>IF(A104="","",IF(OR(A104="",B104="",C104="",E104="",F104="",I104="",J104="",K104="",M104="",N104="",O104="",AND(I104="Allocated",OR(Q104="",R104="")),AND(U104="Yes",V104="")),"Incomplete","Ready"))</f>
        <v/>
      </c>
      <c r="X104" s="23">
        <f>IF(W104&lt;&gt;"Incomplete","",SUBSTITUTE(IF(B104="",", Street Address","")&amp;IF(C104="",", City","")&amp;IF(E104="",", Postcode","")&amp;IF(F104="",", Licensing Authority","")&amp;IF(I104="",", Status","")&amp;IF(J104="",", Firm","")&amp;IF(K104="",", Client","")&amp;IF(M104="",", Date of Instruction","")&amp;IF(N104="",", Instruction Type","")&amp;IF(O104="",", Reinstruction","")&amp;IF(AND(I104="Allocated",Q104=""),", Investigator","")&amp;IF(AND(I104="Allocated",R104=""),", Date Assigned","")&amp;IF(AND(U104="Yes",V104=""),", Licence Check Notes",""),", ","",1))</f>
        <v/>
      </c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2">
        <f>IF(A105="","",IF(OR(A105="",B105="",C105="",E105="",F105="",I105="",J105="",K105="",M105="",N105="",O105="",AND(I105="Allocated",OR(Q105="",R105="")),AND(U105="Yes",V105="")),"Incomplete","Ready"))</f>
        <v/>
      </c>
      <c r="X105" s="23">
        <f>IF(W105&lt;&gt;"Incomplete","",SUBSTITUTE(IF(B105="",", Street Address","")&amp;IF(C105="",", City","")&amp;IF(E105="",", Postcode","")&amp;IF(F105="",", Licensing Authority","")&amp;IF(I105="",", Status","")&amp;IF(J105="",", Firm","")&amp;IF(K105="",", Client","")&amp;IF(M105="",", Date of Instruction","")&amp;IF(N105="",", Instruction Type","")&amp;IF(O105="",", Reinstruction","")&amp;IF(AND(I105="Allocated",Q105=""),", Investigator","")&amp;IF(AND(I105="Allocated",R105=""),", Date Assigned","")&amp;IF(AND(U105="Yes",V105=""),", Licence Check Notes",""),", ","",1))</f>
        <v/>
      </c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2">
        <f>IF(A106="","",IF(OR(A106="",B106="",C106="",E106="",F106="",I106="",J106="",K106="",M106="",N106="",O106="",AND(I106="Allocated",OR(Q106="",R106="")),AND(U106="Yes",V106="")),"Incomplete","Ready"))</f>
        <v/>
      </c>
      <c r="X106" s="23">
        <f>IF(W106&lt;&gt;"Incomplete","",SUBSTITUTE(IF(B106="",", Street Address","")&amp;IF(C106="",", City","")&amp;IF(E106="",", Postcode","")&amp;IF(F106="",", Licensing Authority","")&amp;IF(I106="",", Status","")&amp;IF(J106="",", Firm","")&amp;IF(K106="",", Client","")&amp;IF(M106="",", Date of Instruction","")&amp;IF(N106="",", Instruction Type","")&amp;IF(O106="",", Reinstruction","")&amp;IF(AND(I106="Allocated",Q106=""),", Investigator","")&amp;IF(AND(I106="Allocated",R106=""),", Date Assigned","")&amp;IF(AND(U106="Yes",V106=""),", Licence Check Notes",""),", ","",1))</f>
        <v/>
      </c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2">
        <f>IF(A107="","",IF(OR(A107="",B107="",C107="",E107="",F107="",I107="",J107="",K107="",M107="",N107="",O107="",AND(I107="Allocated",OR(Q107="",R107="")),AND(U107="Yes",V107="")),"Incomplete","Ready"))</f>
        <v/>
      </c>
      <c r="X107" s="23">
        <f>IF(W107&lt;&gt;"Incomplete","",SUBSTITUTE(IF(B107="",", Street Address","")&amp;IF(C107="",", City","")&amp;IF(E107="",", Postcode","")&amp;IF(F107="",", Licensing Authority","")&amp;IF(I107="",", Status","")&amp;IF(J107="",", Firm","")&amp;IF(K107="",", Client","")&amp;IF(M107="",", Date of Instruction","")&amp;IF(N107="",", Instruction Type","")&amp;IF(O107="",", Reinstruction","")&amp;IF(AND(I107="Allocated",Q107=""),", Investigator","")&amp;IF(AND(I107="Allocated",R107=""),", Date Assigned","")&amp;IF(AND(U107="Yes",V107=""),", Licence Check Notes",""),", ","",1))</f>
        <v/>
      </c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2">
        <f>IF(A108="","",IF(OR(A108="",B108="",C108="",E108="",F108="",I108="",J108="",K108="",M108="",N108="",O108="",AND(I108="Allocated",OR(Q108="",R108="")),AND(U108="Yes",V108="")),"Incomplete","Ready"))</f>
        <v/>
      </c>
      <c r="X108" s="23">
        <f>IF(W108&lt;&gt;"Incomplete","",SUBSTITUTE(IF(B108="",", Street Address","")&amp;IF(C108="",", City","")&amp;IF(E108="",", Postcode","")&amp;IF(F108="",", Licensing Authority","")&amp;IF(I108="",", Status","")&amp;IF(J108="",", Firm","")&amp;IF(K108="",", Client","")&amp;IF(M108="",", Date of Instruction","")&amp;IF(N108="",", Instruction Type","")&amp;IF(O108="",", Reinstruction","")&amp;IF(AND(I108="Allocated",Q108=""),", Investigator","")&amp;IF(AND(I108="Allocated",R108=""),", Date Assigned","")&amp;IF(AND(U108="Yes",V108=""),", Licence Check Notes",""),", ","",1))</f>
        <v/>
      </c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2">
        <f>IF(A109="","",IF(OR(A109="",B109="",C109="",E109="",F109="",I109="",J109="",K109="",M109="",N109="",O109="",AND(I109="Allocated",OR(Q109="",R109="")),AND(U109="Yes",V109="")),"Incomplete","Ready"))</f>
        <v/>
      </c>
      <c r="X109" s="23">
        <f>IF(W109&lt;&gt;"Incomplete","",SUBSTITUTE(IF(B109="",", Street Address","")&amp;IF(C109="",", City","")&amp;IF(E109="",", Postcode","")&amp;IF(F109="",", Licensing Authority","")&amp;IF(I109="",", Status","")&amp;IF(J109="",", Firm","")&amp;IF(K109="",", Client","")&amp;IF(M109="",", Date of Instruction","")&amp;IF(N109="",", Instruction Type","")&amp;IF(O109="",", Reinstruction","")&amp;IF(AND(I109="Allocated",Q109=""),", Investigator","")&amp;IF(AND(I109="Allocated",R109=""),", Date Assigned","")&amp;IF(AND(U109="Yes",V109=""),", Licence Check Notes",""),", ","",1))</f>
        <v/>
      </c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2">
        <f>IF(A110="","",IF(OR(A110="",B110="",C110="",E110="",F110="",I110="",J110="",K110="",M110="",N110="",O110="",AND(I110="Allocated",OR(Q110="",R110="")),AND(U110="Yes",V110="")),"Incomplete","Ready"))</f>
        <v/>
      </c>
      <c r="X110" s="23">
        <f>IF(W110&lt;&gt;"Incomplete","",SUBSTITUTE(IF(B110="",", Street Address","")&amp;IF(C110="",", City","")&amp;IF(E110="",", Postcode","")&amp;IF(F110="",", Licensing Authority","")&amp;IF(I110="",", Status","")&amp;IF(J110="",", Firm","")&amp;IF(K110="",", Client","")&amp;IF(M110="",", Date of Instruction","")&amp;IF(N110="",", Instruction Type","")&amp;IF(O110="",", Reinstruction","")&amp;IF(AND(I110="Allocated",Q110=""),", Investigator","")&amp;IF(AND(I110="Allocated",R110=""),", Date Assigned","")&amp;IF(AND(U110="Yes",V110=""),", Licence Check Notes",""),", ","",1))</f>
        <v/>
      </c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2">
        <f>IF(A111="","",IF(OR(A111="",B111="",C111="",E111="",F111="",I111="",J111="",K111="",M111="",N111="",O111="",AND(I111="Allocated",OR(Q111="",R111="")),AND(U111="Yes",V111="")),"Incomplete","Ready"))</f>
        <v/>
      </c>
      <c r="X111" s="23">
        <f>IF(W111&lt;&gt;"Incomplete","",SUBSTITUTE(IF(B111="",", Street Address","")&amp;IF(C111="",", City","")&amp;IF(E111="",", Postcode","")&amp;IF(F111="",", Licensing Authority","")&amp;IF(I111="",", Status","")&amp;IF(J111="",", Firm","")&amp;IF(K111="",", Client","")&amp;IF(M111="",", Date of Instruction","")&amp;IF(N111="",", Instruction Type","")&amp;IF(O111="",", Reinstruction","")&amp;IF(AND(I111="Allocated",Q111=""),", Investigator","")&amp;IF(AND(I111="Allocated",R111=""),", Date Assigned","")&amp;IF(AND(U111="Yes",V111=""),", Licence Check Notes",""),", ","",1))</f>
        <v/>
      </c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2">
        <f>IF(A112="","",IF(OR(A112="",B112="",C112="",E112="",F112="",I112="",J112="",K112="",M112="",N112="",O112="",AND(I112="Allocated",OR(Q112="",R112="")),AND(U112="Yes",V112="")),"Incomplete","Ready"))</f>
        <v/>
      </c>
      <c r="X112" s="23">
        <f>IF(W112&lt;&gt;"Incomplete","",SUBSTITUTE(IF(B112="",", Street Address","")&amp;IF(C112="",", City","")&amp;IF(E112="",", Postcode","")&amp;IF(F112="",", Licensing Authority","")&amp;IF(I112="",", Status","")&amp;IF(J112="",", Firm","")&amp;IF(K112="",", Client","")&amp;IF(M112="",", Date of Instruction","")&amp;IF(N112="",", Instruction Type","")&amp;IF(O112="",", Reinstruction","")&amp;IF(AND(I112="Allocated",Q112=""),", Investigator","")&amp;IF(AND(I112="Allocated",R112=""),", Date Assigned","")&amp;IF(AND(U112="Yes",V112=""),", Licence Check Notes",""),", ","",1))</f>
        <v/>
      </c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2">
        <f>IF(A113="","",IF(OR(A113="",B113="",C113="",E113="",F113="",I113="",J113="",K113="",M113="",N113="",O113="",AND(I113="Allocated",OR(Q113="",R113="")),AND(U113="Yes",V113="")),"Incomplete","Ready"))</f>
        <v/>
      </c>
      <c r="X113" s="23">
        <f>IF(W113&lt;&gt;"Incomplete","",SUBSTITUTE(IF(B113="",", Street Address","")&amp;IF(C113="",", City","")&amp;IF(E113="",", Postcode","")&amp;IF(F113="",", Licensing Authority","")&amp;IF(I113="",", Status","")&amp;IF(J113="",", Firm","")&amp;IF(K113="",", Client","")&amp;IF(M113="",", Date of Instruction","")&amp;IF(N113="",", Instruction Type","")&amp;IF(O113="",", Reinstruction","")&amp;IF(AND(I113="Allocated",Q113=""),", Investigator","")&amp;IF(AND(I113="Allocated",R113=""),", Date Assigned","")&amp;IF(AND(U113="Yes",V113=""),", Licence Check Notes",""),", ","",1))</f>
        <v/>
      </c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2">
        <f>IF(A114="","",IF(OR(A114="",B114="",C114="",E114="",F114="",I114="",J114="",K114="",M114="",N114="",O114="",AND(I114="Allocated",OR(Q114="",R114="")),AND(U114="Yes",V114="")),"Incomplete","Ready"))</f>
        <v/>
      </c>
      <c r="X114" s="23">
        <f>IF(W114&lt;&gt;"Incomplete","",SUBSTITUTE(IF(B114="",", Street Address","")&amp;IF(C114="",", City","")&amp;IF(E114="",", Postcode","")&amp;IF(F114="",", Licensing Authority","")&amp;IF(I114="",", Status","")&amp;IF(J114="",", Firm","")&amp;IF(K114="",", Client","")&amp;IF(M114="",", Date of Instruction","")&amp;IF(N114="",", Instruction Type","")&amp;IF(O114="",", Reinstruction","")&amp;IF(AND(I114="Allocated",Q114=""),", Investigator","")&amp;IF(AND(I114="Allocated",R114=""),", Date Assigned","")&amp;IF(AND(U114="Yes",V114=""),", Licence Check Notes",""),", ","",1))</f>
        <v/>
      </c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2">
        <f>IF(A115="","",IF(OR(A115="",B115="",C115="",E115="",F115="",I115="",J115="",K115="",M115="",N115="",O115="",AND(I115="Allocated",OR(Q115="",R115="")),AND(U115="Yes",V115="")),"Incomplete","Ready"))</f>
        <v/>
      </c>
      <c r="X115" s="23">
        <f>IF(W115&lt;&gt;"Incomplete","",SUBSTITUTE(IF(B115="",", Street Address","")&amp;IF(C115="",", City","")&amp;IF(E115="",", Postcode","")&amp;IF(F115="",", Licensing Authority","")&amp;IF(I115="",", Status","")&amp;IF(J115="",", Firm","")&amp;IF(K115="",", Client","")&amp;IF(M115="",", Date of Instruction","")&amp;IF(N115="",", Instruction Type","")&amp;IF(O115="",", Reinstruction","")&amp;IF(AND(I115="Allocated",Q115=""),", Investigator","")&amp;IF(AND(I115="Allocated",R115=""),", Date Assigned","")&amp;IF(AND(U115="Yes",V115=""),", Licence Check Notes",""),", ","",1))</f>
        <v/>
      </c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2">
        <f>IF(A116="","",IF(OR(A116="",B116="",C116="",E116="",F116="",I116="",J116="",K116="",M116="",N116="",O116="",AND(I116="Allocated",OR(Q116="",R116="")),AND(U116="Yes",V116="")),"Incomplete","Ready"))</f>
        <v/>
      </c>
      <c r="X116" s="23">
        <f>IF(W116&lt;&gt;"Incomplete","",SUBSTITUTE(IF(B116="",", Street Address","")&amp;IF(C116="",", City","")&amp;IF(E116="",", Postcode","")&amp;IF(F116="",", Licensing Authority","")&amp;IF(I116="",", Status","")&amp;IF(J116="",", Firm","")&amp;IF(K116="",", Client","")&amp;IF(M116="",", Date of Instruction","")&amp;IF(N116="",", Instruction Type","")&amp;IF(O116="",", Reinstruction","")&amp;IF(AND(I116="Allocated",Q116=""),", Investigator","")&amp;IF(AND(I116="Allocated",R116=""),", Date Assigned","")&amp;IF(AND(U116="Yes",V116=""),", Licence Check Notes",""),", ","",1))</f>
        <v/>
      </c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2">
        <f>IF(A117="","",IF(OR(A117="",B117="",C117="",E117="",F117="",I117="",J117="",K117="",M117="",N117="",O117="",AND(I117="Allocated",OR(Q117="",R117="")),AND(U117="Yes",V117="")),"Incomplete","Ready"))</f>
        <v/>
      </c>
      <c r="X117" s="23">
        <f>IF(W117&lt;&gt;"Incomplete","",SUBSTITUTE(IF(B117="",", Street Address","")&amp;IF(C117="",", City","")&amp;IF(E117="",", Postcode","")&amp;IF(F117="",", Licensing Authority","")&amp;IF(I117="",", Status","")&amp;IF(J117="",", Firm","")&amp;IF(K117="",", Client","")&amp;IF(M117="",", Date of Instruction","")&amp;IF(N117="",", Instruction Type","")&amp;IF(O117="",", Reinstruction","")&amp;IF(AND(I117="Allocated",Q117=""),", Investigator","")&amp;IF(AND(I117="Allocated",R117=""),", Date Assigned","")&amp;IF(AND(U117="Yes",V117=""),", Licence Check Notes",""),", ","",1))</f>
        <v/>
      </c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2">
        <f>IF(A118="","",IF(OR(A118="",B118="",C118="",E118="",F118="",I118="",J118="",K118="",M118="",N118="",O118="",AND(I118="Allocated",OR(Q118="",R118="")),AND(U118="Yes",V118="")),"Incomplete","Ready"))</f>
        <v/>
      </c>
      <c r="X118" s="23">
        <f>IF(W118&lt;&gt;"Incomplete","",SUBSTITUTE(IF(B118="",", Street Address","")&amp;IF(C118="",", City","")&amp;IF(E118="",", Postcode","")&amp;IF(F118="",", Licensing Authority","")&amp;IF(I118="",", Status","")&amp;IF(J118="",", Firm","")&amp;IF(K118="",", Client","")&amp;IF(M118="",", Date of Instruction","")&amp;IF(N118="",", Instruction Type","")&amp;IF(O118="",", Reinstruction","")&amp;IF(AND(I118="Allocated",Q118=""),", Investigator","")&amp;IF(AND(I118="Allocated",R118=""),", Date Assigned","")&amp;IF(AND(U118="Yes",V118=""),", Licence Check Notes",""),", ","",1))</f>
        <v/>
      </c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2">
        <f>IF(A119="","",IF(OR(A119="",B119="",C119="",E119="",F119="",I119="",J119="",K119="",M119="",N119="",O119="",AND(I119="Allocated",OR(Q119="",R119="")),AND(U119="Yes",V119="")),"Incomplete","Ready"))</f>
        <v/>
      </c>
      <c r="X119" s="23">
        <f>IF(W119&lt;&gt;"Incomplete","",SUBSTITUTE(IF(B119="",", Street Address","")&amp;IF(C119="",", City","")&amp;IF(E119="",", Postcode","")&amp;IF(F119="",", Licensing Authority","")&amp;IF(I119="",", Status","")&amp;IF(J119="",", Firm","")&amp;IF(K119="",", Client","")&amp;IF(M119="",", Date of Instruction","")&amp;IF(N119="",", Instruction Type","")&amp;IF(O119="",", Reinstruction","")&amp;IF(AND(I119="Allocated",Q119=""),", Investigator","")&amp;IF(AND(I119="Allocated",R119=""),", Date Assigned","")&amp;IF(AND(U119="Yes",V119=""),", Licence Check Notes",""),", ","",1))</f>
        <v/>
      </c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2">
        <f>IF(A120="","",IF(OR(A120="",B120="",C120="",E120="",F120="",I120="",J120="",K120="",M120="",N120="",O120="",AND(I120="Allocated",OR(Q120="",R120="")),AND(U120="Yes",V120="")),"Incomplete","Ready"))</f>
        <v/>
      </c>
      <c r="X120" s="23">
        <f>IF(W120&lt;&gt;"Incomplete","",SUBSTITUTE(IF(B120="",", Street Address","")&amp;IF(C120="",", City","")&amp;IF(E120="",", Postcode","")&amp;IF(F120="",", Licensing Authority","")&amp;IF(I120="",", Status","")&amp;IF(J120="",", Firm","")&amp;IF(K120="",", Client","")&amp;IF(M120="",", Date of Instruction","")&amp;IF(N120="",", Instruction Type","")&amp;IF(O120="",", Reinstruction","")&amp;IF(AND(I120="Allocated",Q120=""),", Investigator","")&amp;IF(AND(I120="Allocated",R120=""),", Date Assigned","")&amp;IF(AND(U120="Yes",V120=""),", Licence Check Notes",""),", ","",1))</f>
        <v/>
      </c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2">
        <f>IF(A121="","",IF(OR(A121="",B121="",C121="",E121="",F121="",I121="",J121="",K121="",M121="",N121="",O121="",AND(I121="Allocated",OR(Q121="",R121="")),AND(U121="Yes",V121="")),"Incomplete","Ready"))</f>
        <v/>
      </c>
      <c r="X121" s="23">
        <f>IF(W121&lt;&gt;"Incomplete","",SUBSTITUTE(IF(B121="",", Street Address","")&amp;IF(C121="",", City","")&amp;IF(E121="",", Postcode","")&amp;IF(F121="",", Licensing Authority","")&amp;IF(I121="",", Status","")&amp;IF(J121="",", Firm","")&amp;IF(K121="",", Client","")&amp;IF(M121="",", Date of Instruction","")&amp;IF(N121="",", Instruction Type","")&amp;IF(O121="",", Reinstruction","")&amp;IF(AND(I121="Allocated",Q121=""),", Investigator","")&amp;IF(AND(I121="Allocated",R121=""),", Date Assigned","")&amp;IF(AND(U121="Yes",V121=""),", Licence Check Notes",""),", ","",1))</f>
        <v/>
      </c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2">
        <f>IF(A122="","",IF(OR(A122="",B122="",C122="",E122="",F122="",I122="",J122="",K122="",M122="",N122="",O122="",AND(I122="Allocated",OR(Q122="",R122="")),AND(U122="Yes",V122="")),"Incomplete","Ready"))</f>
        <v/>
      </c>
      <c r="X122" s="23">
        <f>IF(W122&lt;&gt;"Incomplete","",SUBSTITUTE(IF(B122="",", Street Address","")&amp;IF(C122="",", City","")&amp;IF(E122="",", Postcode","")&amp;IF(F122="",", Licensing Authority","")&amp;IF(I122="",", Status","")&amp;IF(J122="",", Firm","")&amp;IF(K122="",", Client","")&amp;IF(M122="",", Date of Instruction","")&amp;IF(N122="",", Instruction Type","")&amp;IF(O122="",", Reinstruction","")&amp;IF(AND(I122="Allocated",Q122=""),", Investigator","")&amp;IF(AND(I122="Allocated",R122=""),", Date Assigned","")&amp;IF(AND(U122="Yes",V122=""),", Licence Check Notes",""),", ","",1))</f>
        <v/>
      </c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2">
        <f>IF(A123="","",IF(OR(A123="",B123="",C123="",E123="",F123="",I123="",J123="",K123="",M123="",N123="",O123="",AND(I123="Allocated",OR(Q123="",R123="")),AND(U123="Yes",V123="")),"Incomplete","Ready"))</f>
        <v/>
      </c>
      <c r="X123" s="23">
        <f>IF(W123&lt;&gt;"Incomplete","",SUBSTITUTE(IF(B123="",", Street Address","")&amp;IF(C123="",", City","")&amp;IF(E123="",", Postcode","")&amp;IF(F123="",", Licensing Authority","")&amp;IF(I123="",", Status","")&amp;IF(J123="",", Firm","")&amp;IF(K123="",", Client","")&amp;IF(M123="",", Date of Instruction","")&amp;IF(N123="",", Instruction Type","")&amp;IF(O123="",", Reinstruction","")&amp;IF(AND(I123="Allocated",Q123=""),", Investigator","")&amp;IF(AND(I123="Allocated",R123=""),", Date Assigned","")&amp;IF(AND(U123="Yes",V123=""),", Licence Check Notes",""),", ","",1))</f>
        <v/>
      </c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2">
        <f>IF(A124="","",IF(OR(A124="",B124="",C124="",E124="",F124="",I124="",J124="",K124="",M124="",N124="",O124="",AND(I124="Allocated",OR(Q124="",R124="")),AND(U124="Yes",V124="")),"Incomplete","Ready"))</f>
        <v/>
      </c>
      <c r="X124" s="23">
        <f>IF(W124&lt;&gt;"Incomplete","",SUBSTITUTE(IF(B124="",", Street Address","")&amp;IF(C124="",", City","")&amp;IF(E124="",", Postcode","")&amp;IF(F124="",", Licensing Authority","")&amp;IF(I124="",", Status","")&amp;IF(J124="",", Firm","")&amp;IF(K124="",", Client","")&amp;IF(M124="",", Date of Instruction","")&amp;IF(N124="",", Instruction Type","")&amp;IF(O124="",", Reinstruction","")&amp;IF(AND(I124="Allocated",Q124=""),", Investigator","")&amp;IF(AND(I124="Allocated",R124=""),", Date Assigned","")&amp;IF(AND(U124="Yes",V124=""),", Licence Check Notes",""),", ","",1))</f>
        <v/>
      </c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2">
        <f>IF(A125="","",IF(OR(A125="",B125="",C125="",E125="",F125="",I125="",J125="",K125="",M125="",N125="",O125="",AND(I125="Allocated",OR(Q125="",R125="")),AND(U125="Yes",V125="")),"Incomplete","Ready"))</f>
        <v/>
      </c>
      <c r="X125" s="23">
        <f>IF(W125&lt;&gt;"Incomplete","",SUBSTITUTE(IF(B125="",", Street Address","")&amp;IF(C125="",", City","")&amp;IF(E125="",", Postcode","")&amp;IF(F125="",", Licensing Authority","")&amp;IF(I125="",", Status","")&amp;IF(J125="",", Firm","")&amp;IF(K125="",", Client","")&amp;IF(M125="",", Date of Instruction","")&amp;IF(N125="",", Instruction Type","")&amp;IF(O125="",", Reinstruction","")&amp;IF(AND(I125="Allocated",Q125=""),", Investigator","")&amp;IF(AND(I125="Allocated",R125=""),", Date Assigned","")&amp;IF(AND(U125="Yes",V125=""),", Licence Check Notes",""),", ","",1))</f>
        <v/>
      </c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2">
        <f>IF(A126="","",IF(OR(A126="",B126="",C126="",E126="",F126="",I126="",J126="",K126="",M126="",N126="",O126="",AND(I126="Allocated",OR(Q126="",R126="")),AND(U126="Yes",V126="")),"Incomplete","Ready"))</f>
        <v/>
      </c>
      <c r="X126" s="23">
        <f>IF(W126&lt;&gt;"Incomplete","",SUBSTITUTE(IF(B126="",", Street Address","")&amp;IF(C126="",", City","")&amp;IF(E126="",", Postcode","")&amp;IF(F126="",", Licensing Authority","")&amp;IF(I126="",", Status","")&amp;IF(J126="",", Firm","")&amp;IF(K126="",", Client","")&amp;IF(M126="",", Date of Instruction","")&amp;IF(N126="",", Instruction Type","")&amp;IF(O126="",", Reinstruction","")&amp;IF(AND(I126="Allocated",Q126=""),", Investigator","")&amp;IF(AND(I126="Allocated",R126=""),", Date Assigned","")&amp;IF(AND(U126="Yes",V126=""),", Licence Check Notes",""),", ","",1))</f>
        <v/>
      </c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2">
        <f>IF(A127="","",IF(OR(A127="",B127="",C127="",E127="",F127="",I127="",J127="",K127="",M127="",N127="",O127="",AND(I127="Allocated",OR(Q127="",R127="")),AND(U127="Yes",V127="")),"Incomplete","Ready"))</f>
        <v/>
      </c>
      <c r="X127" s="23">
        <f>IF(W127&lt;&gt;"Incomplete","",SUBSTITUTE(IF(B127="",", Street Address","")&amp;IF(C127="",", City","")&amp;IF(E127="",", Postcode","")&amp;IF(F127="",", Licensing Authority","")&amp;IF(I127="",", Status","")&amp;IF(J127="",", Firm","")&amp;IF(K127="",", Client","")&amp;IF(M127="",", Date of Instruction","")&amp;IF(N127="",", Instruction Type","")&amp;IF(O127="",", Reinstruction","")&amp;IF(AND(I127="Allocated",Q127=""),", Investigator","")&amp;IF(AND(I127="Allocated",R127=""),", Date Assigned","")&amp;IF(AND(U127="Yes",V127=""),", Licence Check Notes",""),", ","",1))</f>
        <v/>
      </c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2">
        <f>IF(A128="","",IF(OR(A128="",B128="",C128="",E128="",F128="",I128="",J128="",K128="",M128="",N128="",O128="",AND(I128="Allocated",OR(Q128="",R128="")),AND(U128="Yes",V128="")),"Incomplete","Ready"))</f>
        <v/>
      </c>
      <c r="X128" s="23">
        <f>IF(W128&lt;&gt;"Incomplete","",SUBSTITUTE(IF(B128="",", Street Address","")&amp;IF(C128="",", City","")&amp;IF(E128="",", Postcode","")&amp;IF(F128="",", Licensing Authority","")&amp;IF(I128="",", Status","")&amp;IF(J128="",", Firm","")&amp;IF(K128="",", Client","")&amp;IF(M128="",", Date of Instruction","")&amp;IF(N128="",", Instruction Type","")&amp;IF(O128="",", Reinstruction","")&amp;IF(AND(I128="Allocated",Q128=""),", Investigator","")&amp;IF(AND(I128="Allocated",R128=""),", Date Assigned","")&amp;IF(AND(U128="Yes",V128=""),", Licence Check Notes",""),", ","",1))</f>
        <v/>
      </c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2">
        <f>IF(A129="","",IF(OR(A129="",B129="",C129="",E129="",F129="",I129="",J129="",K129="",M129="",N129="",O129="",AND(I129="Allocated",OR(Q129="",R129="")),AND(U129="Yes",V129="")),"Incomplete","Ready"))</f>
        <v/>
      </c>
      <c r="X129" s="23">
        <f>IF(W129&lt;&gt;"Incomplete","",SUBSTITUTE(IF(B129="",", Street Address","")&amp;IF(C129="",", City","")&amp;IF(E129="",", Postcode","")&amp;IF(F129="",", Licensing Authority","")&amp;IF(I129="",", Status","")&amp;IF(J129="",", Firm","")&amp;IF(K129="",", Client","")&amp;IF(M129="",", Date of Instruction","")&amp;IF(N129="",", Instruction Type","")&amp;IF(O129="",", Reinstruction","")&amp;IF(AND(I129="Allocated",Q129=""),", Investigator","")&amp;IF(AND(I129="Allocated",R129=""),", Date Assigned","")&amp;IF(AND(U129="Yes",V129=""),", Licence Check Notes",""),", ","",1))</f>
        <v/>
      </c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2">
        <f>IF(A130="","",IF(OR(A130="",B130="",C130="",E130="",F130="",I130="",J130="",K130="",M130="",N130="",O130="",AND(I130="Allocated",OR(Q130="",R130="")),AND(U130="Yes",V130="")),"Incomplete","Ready"))</f>
        <v/>
      </c>
      <c r="X130" s="23">
        <f>IF(W130&lt;&gt;"Incomplete","",SUBSTITUTE(IF(B130="",", Street Address","")&amp;IF(C130="",", City","")&amp;IF(E130="",", Postcode","")&amp;IF(F130="",", Licensing Authority","")&amp;IF(I130="",", Status","")&amp;IF(J130="",", Firm","")&amp;IF(K130="",", Client","")&amp;IF(M130="",", Date of Instruction","")&amp;IF(N130="",", Instruction Type","")&amp;IF(O130="",", Reinstruction","")&amp;IF(AND(I130="Allocated",Q130=""),", Investigator","")&amp;IF(AND(I130="Allocated",R130=""),", Date Assigned","")&amp;IF(AND(U130="Yes",V130=""),", Licence Check Notes",""),", ","",1))</f>
        <v/>
      </c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2">
        <f>IF(A131="","",IF(OR(A131="",B131="",C131="",E131="",F131="",I131="",J131="",K131="",M131="",N131="",O131="",AND(I131="Allocated",OR(Q131="",R131="")),AND(U131="Yes",V131="")),"Incomplete","Ready"))</f>
        <v/>
      </c>
      <c r="X131" s="23">
        <f>IF(W131&lt;&gt;"Incomplete","",SUBSTITUTE(IF(B131="",", Street Address","")&amp;IF(C131="",", City","")&amp;IF(E131="",", Postcode","")&amp;IF(F131="",", Licensing Authority","")&amp;IF(I131="",", Status","")&amp;IF(J131="",", Firm","")&amp;IF(K131="",", Client","")&amp;IF(M131="",", Date of Instruction","")&amp;IF(N131="",", Instruction Type","")&amp;IF(O131="",", Reinstruction","")&amp;IF(AND(I131="Allocated",Q131=""),", Investigator","")&amp;IF(AND(I131="Allocated",R131=""),", Date Assigned","")&amp;IF(AND(U131="Yes",V131=""),", Licence Check Notes",""),", ","",1))</f>
        <v/>
      </c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2">
        <f>IF(A132="","",IF(OR(A132="",B132="",C132="",E132="",F132="",I132="",J132="",K132="",M132="",N132="",O132="",AND(I132="Allocated",OR(Q132="",R132="")),AND(U132="Yes",V132="")),"Incomplete","Ready"))</f>
        <v/>
      </c>
      <c r="X132" s="23">
        <f>IF(W132&lt;&gt;"Incomplete","",SUBSTITUTE(IF(B132="",", Street Address","")&amp;IF(C132="",", City","")&amp;IF(E132="",", Postcode","")&amp;IF(F132="",", Licensing Authority","")&amp;IF(I132="",", Status","")&amp;IF(J132="",", Firm","")&amp;IF(K132="",", Client","")&amp;IF(M132="",", Date of Instruction","")&amp;IF(N132="",", Instruction Type","")&amp;IF(O132="",", Reinstruction","")&amp;IF(AND(I132="Allocated",Q132=""),", Investigator","")&amp;IF(AND(I132="Allocated",R132=""),", Date Assigned","")&amp;IF(AND(U132="Yes",V132=""),", Licence Check Notes",""),", ","",1))</f>
        <v/>
      </c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2">
        <f>IF(A133="","",IF(OR(A133="",B133="",C133="",E133="",F133="",I133="",J133="",K133="",M133="",N133="",O133="",AND(I133="Allocated",OR(Q133="",R133="")),AND(U133="Yes",V133="")),"Incomplete","Ready"))</f>
        <v/>
      </c>
      <c r="X133" s="23">
        <f>IF(W133&lt;&gt;"Incomplete","",SUBSTITUTE(IF(B133="",", Street Address","")&amp;IF(C133="",", City","")&amp;IF(E133="",", Postcode","")&amp;IF(F133="",", Licensing Authority","")&amp;IF(I133="",", Status","")&amp;IF(J133="",", Firm","")&amp;IF(K133="",", Client","")&amp;IF(M133="",", Date of Instruction","")&amp;IF(N133="",", Instruction Type","")&amp;IF(O133="",", Reinstruction","")&amp;IF(AND(I133="Allocated",Q133=""),", Investigator","")&amp;IF(AND(I133="Allocated",R133=""),", Date Assigned","")&amp;IF(AND(U133="Yes",V133=""),", Licence Check Notes",""),", ","",1))</f>
        <v/>
      </c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2">
        <f>IF(A134="","",IF(OR(A134="",B134="",C134="",E134="",F134="",I134="",J134="",K134="",M134="",N134="",O134="",AND(I134="Allocated",OR(Q134="",R134="")),AND(U134="Yes",V134="")),"Incomplete","Ready"))</f>
        <v/>
      </c>
      <c r="X134" s="23">
        <f>IF(W134&lt;&gt;"Incomplete","",SUBSTITUTE(IF(B134="",", Street Address","")&amp;IF(C134="",", City","")&amp;IF(E134="",", Postcode","")&amp;IF(F134="",", Licensing Authority","")&amp;IF(I134="",", Status","")&amp;IF(J134="",", Firm","")&amp;IF(K134="",", Client","")&amp;IF(M134="",", Date of Instruction","")&amp;IF(N134="",", Instruction Type","")&amp;IF(O134="",", Reinstruction","")&amp;IF(AND(I134="Allocated",Q134=""),", Investigator","")&amp;IF(AND(I134="Allocated",R134=""),", Date Assigned","")&amp;IF(AND(U134="Yes",V134=""),", Licence Check Notes",""),", ","",1))</f>
        <v/>
      </c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2">
        <f>IF(A135="","",IF(OR(A135="",B135="",C135="",E135="",F135="",I135="",J135="",K135="",M135="",N135="",O135="",AND(I135="Allocated",OR(Q135="",R135="")),AND(U135="Yes",V135="")),"Incomplete","Ready"))</f>
        <v/>
      </c>
      <c r="X135" s="23">
        <f>IF(W135&lt;&gt;"Incomplete","",SUBSTITUTE(IF(B135="",", Street Address","")&amp;IF(C135="",", City","")&amp;IF(E135="",", Postcode","")&amp;IF(F135="",", Licensing Authority","")&amp;IF(I135="",", Status","")&amp;IF(J135="",", Firm","")&amp;IF(K135="",", Client","")&amp;IF(M135="",", Date of Instruction","")&amp;IF(N135="",", Instruction Type","")&amp;IF(O135="",", Reinstruction","")&amp;IF(AND(I135="Allocated",Q135=""),", Investigator","")&amp;IF(AND(I135="Allocated",R135=""),", Date Assigned","")&amp;IF(AND(U135="Yes",V135=""),", Licence Check Notes",""),", ","",1))</f>
        <v/>
      </c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2">
        <f>IF(A136="","",IF(OR(A136="",B136="",C136="",E136="",F136="",I136="",J136="",K136="",M136="",N136="",O136="",AND(I136="Allocated",OR(Q136="",R136="")),AND(U136="Yes",V136="")),"Incomplete","Ready"))</f>
        <v/>
      </c>
      <c r="X136" s="23">
        <f>IF(W136&lt;&gt;"Incomplete","",SUBSTITUTE(IF(B136="",", Street Address","")&amp;IF(C136="",", City","")&amp;IF(E136="",", Postcode","")&amp;IF(F136="",", Licensing Authority","")&amp;IF(I136="",", Status","")&amp;IF(J136="",", Firm","")&amp;IF(K136="",", Client","")&amp;IF(M136="",", Date of Instruction","")&amp;IF(N136="",", Instruction Type","")&amp;IF(O136="",", Reinstruction","")&amp;IF(AND(I136="Allocated",Q136=""),", Investigator","")&amp;IF(AND(I136="Allocated",R136=""),", Date Assigned","")&amp;IF(AND(U136="Yes",V136=""),", Licence Check Notes",""),", ","",1))</f>
        <v/>
      </c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2">
        <f>IF(A137="","",IF(OR(A137="",B137="",C137="",E137="",F137="",I137="",J137="",K137="",M137="",N137="",O137="",AND(I137="Allocated",OR(Q137="",R137="")),AND(U137="Yes",V137="")),"Incomplete","Ready"))</f>
        <v/>
      </c>
      <c r="X137" s="23">
        <f>IF(W137&lt;&gt;"Incomplete","",SUBSTITUTE(IF(B137="",", Street Address","")&amp;IF(C137="",", City","")&amp;IF(E137="",", Postcode","")&amp;IF(F137="",", Licensing Authority","")&amp;IF(I137="",", Status","")&amp;IF(J137="",", Firm","")&amp;IF(K137="",", Client","")&amp;IF(M137="",", Date of Instruction","")&amp;IF(N137="",", Instruction Type","")&amp;IF(O137="",", Reinstruction","")&amp;IF(AND(I137="Allocated",Q137=""),", Investigator","")&amp;IF(AND(I137="Allocated",R137=""),", Date Assigned","")&amp;IF(AND(U137="Yes",V137=""),", Licence Check Notes",""),", ","",1))</f>
        <v/>
      </c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2">
        <f>IF(A138="","",IF(OR(A138="",B138="",C138="",E138="",F138="",I138="",J138="",K138="",M138="",N138="",O138="",AND(I138="Allocated",OR(Q138="",R138="")),AND(U138="Yes",V138="")),"Incomplete","Ready"))</f>
        <v/>
      </c>
      <c r="X138" s="23">
        <f>IF(W138&lt;&gt;"Incomplete","",SUBSTITUTE(IF(B138="",", Street Address","")&amp;IF(C138="",", City","")&amp;IF(E138="",", Postcode","")&amp;IF(F138="",", Licensing Authority","")&amp;IF(I138="",", Status","")&amp;IF(J138="",", Firm","")&amp;IF(K138="",", Client","")&amp;IF(M138="",", Date of Instruction","")&amp;IF(N138="",", Instruction Type","")&amp;IF(O138="",", Reinstruction","")&amp;IF(AND(I138="Allocated",Q138=""),", Investigator","")&amp;IF(AND(I138="Allocated",R138=""),", Date Assigned","")&amp;IF(AND(U138="Yes",V138=""),", Licence Check Notes",""),", ","",1))</f>
        <v/>
      </c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2">
        <f>IF(A139="","",IF(OR(A139="",B139="",C139="",E139="",F139="",I139="",J139="",K139="",M139="",N139="",O139="",AND(I139="Allocated",OR(Q139="",R139="")),AND(U139="Yes",V139="")),"Incomplete","Ready"))</f>
        <v/>
      </c>
      <c r="X139" s="23">
        <f>IF(W139&lt;&gt;"Incomplete","",SUBSTITUTE(IF(B139="",", Street Address","")&amp;IF(C139="",", City","")&amp;IF(E139="",", Postcode","")&amp;IF(F139="",", Licensing Authority","")&amp;IF(I139="",", Status","")&amp;IF(J139="",", Firm","")&amp;IF(K139="",", Client","")&amp;IF(M139="",", Date of Instruction","")&amp;IF(N139="",", Instruction Type","")&amp;IF(O139="",", Reinstruction","")&amp;IF(AND(I139="Allocated",Q139=""),", Investigator","")&amp;IF(AND(I139="Allocated",R139=""),", Date Assigned","")&amp;IF(AND(U139="Yes",V139=""),", Licence Check Notes",""),", ","",1))</f>
        <v/>
      </c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2">
        <f>IF(A140="","",IF(OR(A140="",B140="",C140="",E140="",F140="",I140="",J140="",K140="",M140="",N140="",O140="",AND(I140="Allocated",OR(Q140="",R140="")),AND(U140="Yes",V140="")),"Incomplete","Ready"))</f>
        <v/>
      </c>
      <c r="X140" s="23">
        <f>IF(W140&lt;&gt;"Incomplete","",SUBSTITUTE(IF(B140="",", Street Address","")&amp;IF(C140="",", City","")&amp;IF(E140="",", Postcode","")&amp;IF(F140="",", Licensing Authority","")&amp;IF(I140="",", Status","")&amp;IF(J140="",", Firm","")&amp;IF(K140="",", Client","")&amp;IF(M140="",", Date of Instruction","")&amp;IF(N140="",", Instruction Type","")&amp;IF(O140="",", Reinstruction","")&amp;IF(AND(I140="Allocated",Q140=""),", Investigator","")&amp;IF(AND(I140="Allocated",R140=""),", Date Assigned","")&amp;IF(AND(U140="Yes",V140=""),", Licence Check Notes",""),", ","",1))</f>
        <v/>
      </c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2">
        <f>IF(A141="","",IF(OR(A141="",B141="",C141="",E141="",F141="",I141="",J141="",K141="",M141="",N141="",O141="",AND(I141="Allocated",OR(Q141="",R141="")),AND(U141="Yes",V141="")),"Incomplete","Ready"))</f>
        <v/>
      </c>
      <c r="X141" s="23">
        <f>IF(W141&lt;&gt;"Incomplete","",SUBSTITUTE(IF(B141="",", Street Address","")&amp;IF(C141="",", City","")&amp;IF(E141="",", Postcode","")&amp;IF(F141="",", Licensing Authority","")&amp;IF(I141="",", Status","")&amp;IF(J141="",", Firm","")&amp;IF(K141="",", Client","")&amp;IF(M141="",", Date of Instruction","")&amp;IF(N141="",", Instruction Type","")&amp;IF(O141="",", Reinstruction","")&amp;IF(AND(I141="Allocated",Q141=""),", Investigator","")&amp;IF(AND(I141="Allocated",R141=""),", Date Assigned","")&amp;IF(AND(U141="Yes",V141=""),", Licence Check Notes",""),", ","",1))</f>
        <v/>
      </c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2">
        <f>IF(A142="","",IF(OR(A142="",B142="",C142="",E142="",F142="",I142="",J142="",K142="",M142="",N142="",O142="",AND(I142="Allocated",OR(Q142="",R142="")),AND(U142="Yes",V142="")),"Incomplete","Ready"))</f>
        <v/>
      </c>
      <c r="X142" s="23">
        <f>IF(W142&lt;&gt;"Incomplete","",SUBSTITUTE(IF(B142="",", Street Address","")&amp;IF(C142="",", City","")&amp;IF(E142="",", Postcode","")&amp;IF(F142="",", Licensing Authority","")&amp;IF(I142="",", Status","")&amp;IF(J142="",", Firm","")&amp;IF(K142="",", Client","")&amp;IF(M142="",", Date of Instruction","")&amp;IF(N142="",", Instruction Type","")&amp;IF(O142="",", Reinstruction","")&amp;IF(AND(I142="Allocated",Q142=""),", Investigator","")&amp;IF(AND(I142="Allocated",R142=""),", Date Assigned","")&amp;IF(AND(U142="Yes",V142=""),", Licence Check Notes",""),", ","",1))</f>
        <v/>
      </c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2">
        <f>IF(A143="","",IF(OR(A143="",B143="",C143="",E143="",F143="",I143="",J143="",K143="",M143="",N143="",O143="",AND(I143="Allocated",OR(Q143="",R143="")),AND(U143="Yes",V143="")),"Incomplete","Ready"))</f>
        <v/>
      </c>
      <c r="X143" s="23">
        <f>IF(W143&lt;&gt;"Incomplete","",SUBSTITUTE(IF(B143="",", Street Address","")&amp;IF(C143="",", City","")&amp;IF(E143="",", Postcode","")&amp;IF(F143="",", Licensing Authority","")&amp;IF(I143="",", Status","")&amp;IF(J143="",", Firm","")&amp;IF(K143="",", Client","")&amp;IF(M143="",", Date of Instruction","")&amp;IF(N143="",", Instruction Type","")&amp;IF(O143="",", Reinstruction","")&amp;IF(AND(I143="Allocated",Q143=""),", Investigator","")&amp;IF(AND(I143="Allocated",R143=""),", Date Assigned","")&amp;IF(AND(U143="Yes",V143=""),", Licence Check Notes",""),", ","",1))</f>
        <v/>
      </c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2">
        <f>IF(A144="","",IF(OR(A144="",B144="",C144="",E144="",F144="",I144="",J144="",K144="",M144="",N144="",O144="",AND(I144="Allocated",OR(Q144="",R144="")),AND(U144="Yes",V144="")),"Incomplete","Ready"))</f>
        <v/>
      </c>
      <c r="X144" s="23">
        <f>IF(W144&lt;&gt;"Incomplete","",SUBSTITUTE(IF(B144="",", Street Address","")&amp;IF(C144="",", City","")&amp;IF(E144="",", Postcode","")&amp;IF(F144="",", Licensing Authority","")&amp;IF(I144="",", Status","")&amp;IF(J144="",", Firm","")&amp;IF(K144="",", Client","")&amp;IF(M144="",", Date of Instruction","")&amp;IF(N144="",", Instruction Type","")&amp;IF(O144="",", Reinstruction","")&amp;IF(AND(I144="Allocated",Q144=""),", Investigator","")&amp;IF(AND(I144="Allocated",R144=""),", Date Assigned","")&amp;IF(AND(U144="Yes",V144=""),", Licence Check Notes",""),", ","",1))</f>
        <v/>
      </c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2">
        <f>IF(A145="","",IF(OR(A145="",B145="",C145="",E145="",F145="",I145="",J145="",K145="",M145="",N145="",O145="",AND(I145="Allocated",OR(Q145="",R145="")),AND(U145="Yes",V145="")),"Incomplete","Ready"))</f>
        <v/>
      </c>
      <c r="X145" s="23">
        <f>IF(W145&lt;&gt;"Incomplete","",SUBSTITUTE(IF(B145="",", Street Address","")&amp;IF(C145="",", City","")&amp;IF(E145="",", Postcode","")&amp;IF(F145="",", Licensing Authority","")&amp;IF(I145="",", Status","")&amp;IF(J145="",", Firm","")&amp;IF(K145="",", Client","")&amp;IF(M145="",", Date of Instruction","")&amp;IF(N145="",", Instruction Type","")&amp;IF(O145="",", Reinstruction","")&amp;IF(AND(I145="Allocated",Q145=""),", Investigator","")&amp;IF(AND(I145="Allocated",R145=""),", Date Assigned","")&amp;IF(AND(U145="Yes",V145=""),", Licence Check Notes",""),", ","",1))</f>
        <v/>
      </c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2">
        <f>IF(A146="","",IF(OR(A146="",B146="",C146="",E146="",F146="",I146="",J146="",K146="",M146="",N146="",O146="",AND(I146="Allocated",OR(Q146="",R146="")),AND(U146="Yes",V146="")),"Incomplete","Ready"))</f>
        <v/>
      </c>
      <c r="X146" s="23">
        <f>IF(W146&lt;&gt;"Incomplete","",SUBSTITUTE(IF(B146="",", Street Address","")&amp;IF(C146="",", City","")&amp;IF(E146="",", Postcode","")&amp;IF(F146="",", Licensing Authority","")&amp;IF(I146="",", Status","")&amp;IF(J146="",", Firm","")&amp;IF(K146="",", Client","")&amp;IF(M146="",", Date of Instruction","")&amp;IF(N146="",", Instruction Type","")&amp;IF(O146="",", Reinstruction","")&amp;IF(AND(I146="Allocated",Q146=""),", Investigator","")&amp;IF(AND(I146="Allocated",R146=""),", Date Assigned","")&amp;IF(AND(U146="Yes",V146=""),", Licence Check Notes",""),", ","",1))</f>
        <v/>
      </c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2">
        <f>IF(A147="","",IF(OR(A147="",B147="",C147="",E147="",F147="",I147="",J147="",K147="",M147="",N147="",O147="",AND(I147="Allocated",OR(Q147="",R147="")),AND(U147="Yes",V147="")),"Incomplete","Ready"))</f>
        <v/>
      </c>
      <c r="X147" s="23">
        <f>IF(W147&lt;&gt;"Incomplete","",SUBSTITUTE(IF(B147="",", Street Address","")&amp;IF(C147="",", City","")&amp;IF(E147="",", Postcode","")&amp;IF(F147="",", Licensing Authority","")&amp;IF(I147="",", Status","")&amp;IF(J147="",", Firm","")&amp;IF(K147="",", Client","")&amp;IF(M147="",", Date of Instruction","")&amp;IF(N147="",", Instruction Type","")&amp;IF(O147="",", Reinstruction","")&amp;IF(AND(I147="Allocated",Q147=""),", Investigator","")&amp;IF(AND(I147="Allocated",R147=""),", Date Assigned","")&amp;IF(AND(U147="Yes",V147=""),", Licence Check Notes",""),", ","",1))</f>
        <v/>
      </c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2">
        <f>IF(A148="","",IF(OR(A148="",B148="",C148="",E148="",F148="",I148="",J148="",K148="",M148="",N148="",O148="",AND(I148="Allocated",OR(Q148="",R148="")),AND(U148="Yes",V148="")),"Incomplete","Ready"))</f>
        <v/>
      </c>
      <c r="X148" s="23">
        <f>IF(W148&lt;&gt;"Incomplete","",SUBSTITUTE(IF(B148="",", Street Address","")&amp;IF(C148="",", City","")&amp;IF(E148="",", Postcode","")&amp;IF(F148="",", Licensing Authority","")&amp;IF(I148="",", Status","")&amp;IF(J148="",", Firm","")&amp;IF(K148="",", Client","")&amp;IF(M148="",", Date of Instruction","")&amp;IF(N148="",", Instruction Type","")&amp;IF(O148="",", Reinstruction","")&amp;IF(AND(I148="Allocated",Q148=""),", Investigator","")&amp;IF(AND(I148="Allocated",R148=""),", Date Assigned","")&amp;IF(AND(U148="Yes",V148=""),", Licence Check Notes",""),", ","",1))</f>
        <v/>
      </c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2">
        <f>IF(A149="","",IF(OR(A149="",B149="",C149="",E149="",F149="",I149="",J149="",K149="",M149="",N149="",O149="",AND(I149="Allocated",OR(Q149="",R149="")),AND(U149="Yes",V149="")),"Incomplete","Ready"))</f>
        <v/>
      </c>
      <c r="X149" s="23">
        <f>IF(W149&lt;&gt;"Incomplete","",SUBSTITUTE(IF(B149="",", Street Address","")&amp;IF(C149="",", City","")&amp;IF(E149="",", Postcode","")&amp;IF(F149="",", Licensing Authority","")&amp;IF(I149="",", Status","")&amp;IF(J149="",", Firm","")&amp;IF(K149="",", Client","")&amp;IF(M149="",", Date of Instruction","")&amp;IF(N149="",", Instruction Type","")&amp;IF(O149="",", Reinstruction","")&amp;IF(AND(I149="Allocated",Q149=""),", Investigator","")&amp;IF(AND(I149="Allocated",R149=""),", Date Assigned","")&amp;IF(AND(U149="Yes",V149=""),", Licence Check Notes",""),", ","",1))</f>
        <v/>
      </c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2">
        <f>IF(A150="","",IF(OR(A150="",B150="",C150="",E150="",F150="",I150="",J150="",K150="",M150="",N150="",O150="",AND(I150="Allocated",OR(Q150="",R150="")),AND(U150="Yes",V150="")),"Incomplete","Ready"))</f>
        <v/>
      </c>
      <c r="X150" s="23">
        <f>IF(W150&lt;&gt;"Incomplete","",SUBSTITUTE(IF(B150="",", Street Address","")&amp;IF(C150="",", City","")&amp;IF(E150="",", Postcode","")&amp;IF(F150="",", Licensing Authority","")&amp;IF(I150="",", Status","")&amp;IF(J150="",", Firm","")&amp;IF(K150="",", Client","")&amp;IF(M150="",", Date of Instruction","")&amp;IF(N150="",", Instruction Type","")&amp;IF(O150="",", Reinstruction","")&amp;IF(AND(I150="Allocated",Q150=""),", Investigator","")&amp;IF(AND(I150="Allocated",R150=""),", Date Assigned","")&amp;IF(AND(U150="Yes",V150=""),", Licence Check Notes",""),", ","",1))</f>
        <v/>
      </c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2">
        <f>IF(A151="","",IF(OR(A151="",B151="",C151="",E151="",F151="",I151="",J151="",K151="",M151="",N151="",O151="",AND(I151="Allocated",OR(Q151="",R151="")),AND(U151="Yes",V151="")),"Incomplete","Ready"))</f>
        <v/>
      </c>
      <c r="X151" s="23">
        <f>IF(W151&lt;&gt;"Incomplete","",SUBSTITUTE(IF(B151="",", Street Address","")&amp;IF(C151="",", City","")&amp;IF(E151="",", Postcode","")&amp;IF(F151="",", Licensing Authority","")&amp;IF(I151="",", Status","")&amp;IF(J151="",", Firm","")&amp;IF(K151="",", Client","")&amp;IF(M151="",", Date of Instruction","")&amp;IF(N151="",", Instruction Type","")&amp;IF(O151="",", Reinstruction","")&amp;IF(AND(I151="Allocated",Q151=""),", Investigator","")&amp;IF(AND(I151="Allocated",R151=""),", Date Assigned","")&amp;IF(AND(U151="Yes",V151=""),", Licence Check Notes",""),", ","",1))</f>
        <v/>
      </c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2">
        <f>IF(A152="","",IF(OR(A152="",B152="",C152="",E152="",F152="",I152="",J152="",K152="",M152="",N152="",O152="",AND(I152="Allocated",OR(Q152="",R152="")),AND(U152="Yes",V152="")),"Incomplete","Ready"))</f>
        <v/>
      </c>
      <c r="X152" s="23">
        <f>IF(W152&lt;&gt;"Incomplete","",SUBSTITUTE(IF(B152="",", Street Address","")&amp;IF(C152="",", City","")&amp;IF(E152="",", Postcode","")&amp;IF(F152="",", Licensing Authority","")&amp;IF(I152="",", Status","")&amp;IF(J152="",", Firm","")&amp;IF(K152="",", Client","")&amp;IF(M152="",", Date of Instruction","")&amp;IF(N152="",", Instruction Type","")&amp;IF(O152="",", Reinstruction","")&amp;IF(AND(I152="Allocated",Q152=""),", Investigator","")&amp;IF(AND(I152="Allocated",R152=""),", Date Assigned","")&amp;IF(AND(U152="Yes",V152=""),", Licence Check Notes",""),", ","",1))</f>
        <v/>
      </c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2">
        <f>IF(A153="","",IF(OR(A153="",B153="",C153="",E153="",F153="",I153="",J153="",K153="",M153="",N153="",O153="",AND(I153="Allocated",OR(Q153="",R153="")),AND(U153="Yes",V153="")),"Incomplete","Ready"))</f>
        <v/>
      </c>
      <c r="X153" s="23">
        <f>IF(W153&lt;&gt;"Incomplete","",SUBSTITUTE(IF(B153="",", Street Address","")&amp;IF(C153="",", City","")&amp;IF(E153="",", Postcode","")&amp;IF(F153="",", Licensing Authority","")&amp;IF(I153="",", Status","")&amp;IF(J153="",", Firm","")&amp;IF(K153="",", Client","")&amp;IF(M153="",", Date of Instruction","")&amp;IF(N153="",", Instruction Type","")&amp;IF(O153="",", Reinstruction","")&amp;IF(AND(I153="Allocated",Q153=""),", Investigator","")&amp;IF(AND(I153="Allocated",R153=""),", Date Assigned","")&amp;IF(AND(U153="Yes",V153=""),", Licence Check Notes",""),", ","",1))</f>
        <v/>
      </c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2">
        <f>IF(A154="","",IF(OR(A154="",B154="",C154="",E154="",F154="",I154="",J154="",K154="",M154="",N154="",O154="",AND(I154="Allocated",OR(Q154="",R154="")),AND(U154="Yes",V154="")),"Incomplete","Ready"))</f>
        <v/>
      </c>
      <c r="X154" s="23">
        <f>IF(W154&lt;&gt;"Incomplete","",SUBSTITUTE(IF(B154="",", Street Address","")&amp;IF(C154="",", City","")&amp;IF(E154="",", Postcode","")&amp;IF(F154="",", Licensing Authority","")&amp;IF(I154="",", Status","")&amp;IF(J154="",", Firm","")&amp;IF(K154="",", Client","")&amp;IF(M154="",", Date of Instruction","")&amp;IF(N154="",", Instruction Type","")&amp;IF(O154="",", Reinstruction","")&amp;IF(AND(I154="Allocated",Q154=""),", Investigator","")&amp;IF(AND(I154="Allocated",R154=""),", Date Assigned","")&amp;IF(AND(U154="Yes",V154=""),", Licence Check Notes",""),", ","",1))</f>
        <v/>
      </c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2">
        <f>IF(A155="","",IF(OR(A155="",B155="",C155="",E155="",F155="",I155="",J155="",K155="",M155="",N155="",O155="",AND(I155="Allocated",OR(Q155="",R155="")),AND(U155="Yes",V155="")),"Incomplete","Ready"))</f>
        <v/>
      </c>
      <c r="X155" s="23">
        <f>IF(W155&lt;&gt;"Incomplete","",SUBSTITUTE(IF(B155="",", Street Address","")&amp;IF(C155="",", City","")&amp;IF(E155="",", Postcode","")&amp;IF(F155="",", Licensing Authority","")&amp;IF(I155="",", Status","")&amp;IF(J155="",", Firm","")&amp;IF(K155="",", Client","")&amp;IF(M155="",", Date of Instruction","")&amp;IF(N155="",", Instruction Type","")&amp;IF(O155="",", Reinstruction","")&amp;IF(AND(I155="Allocated",Q155=""),", Investigator","")&amp;IF(AND(I155="Allocated",R155=""),", Date Assigned","")&amp;IF(AND(U155="Yes",V155=""),", Licence Check Notes",""),", ","",1))</f>
        <v/>
      </c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2">
        <f>IF(A156="","",IF(OR(A156="",B156="",C156="",E156="",F156="",I156="",J156="",K156="",M156="",N156="",O156="",AND(I156="Allocated",OR(Q156="",R156="")),AND(U156="Yes",V156="")),"Incomplete","Ready"))</f>
        <v/>
      </c>
      <c r="X156" s="23">
        <f>IF(W156&lt;&gt;"Incomplete","",SUBSTITUTE(IF(B156="",", Street Address","")&amp;IF(C156="",", City","")&amp;IF(E156="",", Postcode","")&amp;IF(F156="",", Licensing Authority","")&amp;IF(I156="",", Status","")&amp;IF(J156="",", Firm","")&amp;IF(K156="",", Client","")&amp;IF(M156="",", Date of Instruction","")&amp;IF(N156="",", Instruction Type","")&amp;IF(O156="",", Reinstruction","")&amp;IF(AND(I156="Allocated",Q156=""),", Investigator","")&amp;IF(AND(I156="Allocated",R156=""),", Date Assigned","")&amp;IF(AND(U156="Yes",V156=""),", Licence Check Notes",""),", ","",1))</f>
        <v/>
      </c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2">
        <f>IF(A157="","",IF(OR(A157="",B157="",C157="",E157="",F157="",I157="",J157="",K157="",M157="",N157="",O157="",AND(I157="Allocated",OR(Q157="",R157="")),AND(U157="Yes",V157="")),"Incomplete","Ready"))</f>
        <v/>
      </c>
      <c r="X157" s="23">
        <f>IF(W157&lt;&gt;"Incomplete","",SUBSTITUTE(IF(B157="",", Street Address","")&amp;IF(C157="",", City","")&amp;IF(E157="",", Postcode","")&amp;IF(F157="",", Licensing Authority","")&amp;IF(I157="",", Status","")&amp;IF(J157="",", Firm","")&amp;IF(K157="",", Client","")&amp;IF(M157="",", Date of Instruction","")&amp;IF(N157="",", Instruction Type","")&amp;IF(O157="",", Reinstruction","")&amp;IF(AND(I157="Allocated",Q157=""),", Investigator","")&amp;IF(AND(I157="Allocated",R157=""),", Date Assigned","")&amp;IF(AND(U157="Yes",V157=""),", Licence Check Notes",""),", ","",1))</f>
        <v/>
      </c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2">
        <f>IF(A158="","",IF(OR(A158="",B158="",C158="",E158="",F158="",I158="",J158="",K158="",M158="",N158="",O158="",AND(I158="Allocated",OR(Q158="",R158="")),AND(U158="Yes",V158="")),"Incomplete","Ready"))</f>
        <v/>
      </c>
      <c r="X158" s="23">
        <f>IF(W158&lt;&gt;"Incomplete","",SUBSTITUTE(IF(B158="",", Street Address","")&amp;IF(C158="",", City","")&amp;IF(E158="",", Postcode","")&amp;IF(F158="",", Licensing Authority","")&amp;IF(I158="",", Status","")&amp;IF(J158="",", Firm","")&amp;IF(K158="",", Client","")&amp;IF(M158="",", Date of Instruction","")&amp;IF(N158="",", Instruction Type","")&amp;IF(O158="",", Reinstruction","")&amp;IF(AND(I158="Allocated",Q158=""),", Investigator","")&amp;IF(AND(I158="Allocated",R158=""),", Date Assigned","")&amp;IF(AND(U158="Yes",V158=""),", Licence Check Notes",""),", ","",1))</f>
        <v/>
      </c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2">
        <f>IF(A159="","",IF(OR(A159="",B159="",C159="",E159="",F159="",I159="",J159="",K159="",M159="",N159="",O159="",AND(I159="Allocated",OR(Q159="",R159="")),AND(U159="Yes",V159="")),"Incomplete","Ready"))</f>
        <v/>
      </c>
      <c r="X159" s="23">
        <f>IF(W159&lt;&gt;"Incomplete","",SUBSTITUTE(IF(B159="",", Street Address","")&amp;IF(C159="",", City","")&amp;IF(E159="",", Postcode","")&amp;IF(F159="",", Licensing Authority","")&amp;IF(I159="",", Status","")&amp;IF(J159="",", Firm","")&amp;IF(K159="",", Client","")&amp;IF(M159="",", Date of Instruction","")&amp;IF(N159="",", Instruction Type","")&amp;IF(O159="",", Reinstruction","")&amp;IF(AND(I159="Allocated",Q159=""),", Investigator","")&amp;IF(AND(I159="Allocated",R159=""),", Date Assigned","")&amp;IF(AND(U159="Yes",V159=""),", Licence Check Notes",""),", ","",1))</f>
        <v/>
      </c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2">
        <f>IF(A160="","",IF(OR(A160="",B160="",C160="",E160="",F160="",I160="",J160="",K160="",M160="",N160="",O160="",AND(I160="Allocated",OR(Q160="",R160="")),AND(U160="Yes",V160="")),"Incomplete","Ready"))</f>
        <v/>
      </c>
      <c r="X160" s="23">
        <f>IF(W160&lt;&gt;"Incomplete","",SUBSTITUTE(IF(B160="",", Street Address","")&amp;IF(C160="",", City","")&amp;IF(E160="",", Postcode","")&amp;IF(F160="",", Licensing Authority","")&amp;IF(I160="",", Status","")&amp;IF(J160="",", Firm","")&amp;IF(K160="",", Client","")&amp;IF(M160="",", Date of Instruction","")&amp;IF(N160="",", Instruction Type","")&amp;IF(O160="",", Reinstruction","")&amp;IF(AND(I160="Allocated",Q160=""),", Investigator","")&amp;IF(AND(I160="Allocated",R160=""),", Date Assigned","")&amp;IF(AND(U160="Yes",V160=""),", Licence Check Notes",""),", ","",1))</f>
        <v/>
      </c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2">
        <f>IF(A161="","",IF(OR(A161="",B161="",C161="",E161="",F161="",I161="",J161="",K161="",M161="",N161="",O161="",AND(I161="Allocated",OR(Q161="",R161="")),AND(U161="Yes",V161="")),"Incomplete","Ready"))</f>
        <v/>
      </c>
      <c r="X161" s="23">
        <f>IF(W161&lt;&gt;"Incomplete","",SUBSTITUTE(IF(B161="",", Street Address","")&amp;IF(C161="",", City","")&amp;IF(E161="",", Postcode","")&amp;IF(F161="",", Licensing Authority","")&amp;IF(I161="",", Status","")&amp;IF(J161="",", Firm","")&amp;IF(K161="",", Client","")&amp;IF(M161="",", Date of Instruction","")&amp;IF(N161="",", Instruction Type","")&amp;IF(O161="",", Reinstruction","")&amp;IF(AND(I161="Allocated",Q161=""),", Investigator","")&amp;IF(AND(I161="Allocated",R161=""),", Date Assigned","")&amp;IF(AND(U161="Yes",V161=""),", Licence Check Notes",""),", ","",1))</f>
        <v/>
      </c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2">
        <f>IF(A162="","",IF(OR(A162="",B162="",C162="",E162="",F162="",I162="",J162="",K162="",M162="",N162="",O162="",AND(I162="Allocated",OR(Q162="",R162="")),AND(U162="Yes",V162="")),"Incomplete","Ready"))</f>
        <v/>
      </c>
      <c r="X162" s="23">
        <f>IF(W162&lt;&gt;"Incomplete","",SUBSTITUTE(IF(B162="",", Street Address","")&amp;IF(C162="",", City","")&amp;IF(E162="",", Postcode","")&amp;IF(F162="",", Licensing Authority","")&amp;IF(I162="",", Status","")&amp;IF(J162="",", Firm","")&amp;IF(K162="",", Client","")&amp;IF(M162="",", Date of Instruction","")&amp;IF(N162="",", Instruction Type","")&amp;IF(O162="",", Reinstruction","")&amp;IF(AND(I162="Allocated",Q162=""),", Investigator","")&amp;IF(AND(I162="Allocated",R162=""),", Date Assigned","")&amp;IF(AND(U162="Yes",V162=""),", Licence Check Notes",""),", ","",1))</f>
        <v/>
      </c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2">
        <f>IF(A163="","",IF(OR(A163="",B163="",C163="",E163="",F163="",I163="",J163="",K163="",M163="",N163="",O163="",AND(I163="Allocated",OR(Q163="",R163="")),AND(U163="Yes",V163="")),"Incomplete","Ready"))</f>
        <v/>
      </c>
      <c r="X163" s="23">
        <f>IF(W163&lt;&gt;"Incomplete","",SUBSTITUTE(IF(B163="",", Street Address","")&amp;IF(C163="",", City","")&amp;IF(E163="",", Postcode","")&amp;IF(F163="",", Licensing Authority","")&amp;IF(I163="",", Status","")&amp;IF(J163="",", Firm","")&amp;IF(K163="",", Client","")&amp;IF(M163="",", Date of Instruction","")&amp;IF(N163="",", Instruction Type","")&amp;IF(O163="",", Reinstruction","")&amp;IF(AND(I163="Allocated",Q163=""),", Investigator","")&amp;IF(AND(I163="Allocated",R163=""),", Date Assigned","")&amp;IF(AND(U163="Yes",V163=""),", Licence Check Notes",""),", ","",1))</f>
        <v/>
      </c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2">
        <f>IF(A164="","",IF(OR(A164="",B164="",C164="",E164="",F164="",I164="",J164="",K164="",M164="",N164="",O164="",AND(I164="Allocated",OR(Q164="",R164="")),AND(U164="Yes",V164="")),"Incomplete","Ready"))</f>
        <v/>
      </c>
      <c r="X164" s="23">
        <f>IF(W164&lt;&gt;"Incomplete","",SUBSTITUTE(IF(B164="",", Street Address","")&amp;IF(C164="",", City","")&amp;IF(E164="",", Postcode","")&amp;IF(F164="",", Licensing Authority","")&amp;IF(I164="",", Status","")&amp;IF(J164="",", Firm","")&amp;IF(K164="",", Client","")&amp;IF(M164="",", Date of Instruction","")&amp;IF(N164="",", Instruction Type","")&amp;IF(O164="",", Reinstruction","")&amp;IF(AND(I164="Allocated",Q164=""),", Investigator","")&amp;IF(AND(I164="Allocated",R164=""),", Date Assigned","")&amp;IF(AND(U164="Yes",V164=""),", Licence Check Notes",""),", ","",1))</f>
        <v/>
      </c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2">
        <f>IF(A165="","",IF(OR(A165="",B165="",C165="",E165="",F165="",I165="",J165="",K165="",M165="",N165="",O165="",AND(I165="Allocated",OR(Q165="",R165="")),AND(U165="Yes",V165="")),"Incomplete","Ready"))</f>
        <v/>
      </c>
      <c r="X165" s="23">
        <f>IF(W165&lt;&gt;"Incomplete","",SUBSTITUTE(IF(B165="",", Street Address","")&amp;IF(C165="",", City","")&amp;IF(E165="",", Postcode","")&amp;IF(F165="",", Licensing Authority","")&amp;IF(I165="",", Status","")&amp;IF(J165="",", Firm","")&amp;IF(K165="",", Client","")&amp;IF(M165="",", Date of Instruction","")&amp;IF(N165="",", Instruction Type","")&amp;IF(O165="",", Reinstruction","")&amp;IF(AND(I165="Allocated",Q165=""),", Investigator","")&amp;IF(AND(I165="Allocated",R165=""),", Date Assigned","")&amp;IF(AND(U165="Yes",V165=""),", Licence Check Notes",""),", ","",1))</f>
        <v/>
      </c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2">
        <f>IF(A166="","",IF(OR(A166="",B166="",C166="",E166="",F166="",I166="",J166="",K166="",M166="",N166="",O166="",AND(I166="Allocated",OR(Q166="",R166="")),AND(U166="Yes",V166="")),"Incomplete","Ready"))</f>
        <v/>
      </c>
      <c r="X166" s="23">
        <f>IF(W166&lt;&gt;"Incomplete","",SUBSTITUTE(IF(B166="",", Street Address","")&amp;IF(C166="",", City","")&amp;IF(E166="",", Postcode","")&amp;IF(F166="",", Licensing Authority","")&amp;IF(I166="",", Status","")&amp;IF(J166="",", Firm","")&amp;IF(K166="",", Client","")&amp;IF(M166="",", Date of Instruction","")&amp;IF(N166="",", Instruction Type","")&amp;IF(O166="",", Reinstruction","")&amp;IF(AND(I166="Allocated",Q166=""),", Investigator","")&amp;IF(AND(I166="Allocated",R166=""),", Date Assigned","")&amp;IF(AND(U166="Yes",V166=""),", Licence Check Notes",""),", ","",1))</f>
        <v/>
      </c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2">
        <f>IF(A167="","",IF(OR(A167="",B167="",C167="",E167="",F167="",I167="",J167="",K167="",M167="",N167="",O167="",AND(I167="Allocated",OR(Q167="",R167="")),AND(U167="Yes",V167="")),"Incomplete","Ready"))</f>
        <v/>
      </c>
      <c r="X167" s="23">
        <f>IF(W167&lt;&gt;"Incomplete","",SUBSTITUTE(IF(B167="",", Street Address","")&amp;IF(C167="",", City","")&amp;IF(E167="",", Postcode","")&amp;IF(F167="",", Licensing Authority","")&amp;IF(I167="",", Status","")&amp;IF(J167="",", Firm","")&amp;IF(K167="",", Client","")&amp;IF(M167="",", Date of Instruction","")&amp;IF(N167="",", Instruction Type","")&amp;IF(O167="",", Reinstruction","")&amp;IF(AND(I167="Allocated",Q167=""),", Investigator","")&amp;IF(AND(I167="Allocated",R167=""),", Date Assigned","")&amp;IF(AND(U167="Yes",V167=""),", Licence Check Notes",""),", ","",1))</f>
        <v/>
      </c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2">
        <f>IF(A168="","",IF(OR(A168="",B168="",C168="",E168="",F168="",I168="",J168="",K168="",M168="",N168="",O168="",AND(I168="Allocated",OR(Q168="",R168="")),AND(U168="Yes",V168="")),"Incomplete","Ready"))</f>
        <v/>
      </c>
      <c r="X168" s="23">
        <f>IF(W168&lt;&gt;"Incomplete","",SUBSTITUTE(IF(B168="",", Street Address","")&amp;IF(C168="",", City","")&amp;IF(E168="",", Postcode","")&amp;IF(F168="",", Licensing Authority","")&amp;IF(I168="",", Status","")&amp;IF(J168="",", Firm","")&amp;IF(K168="",", Client","")&amp;IF(M168="",", Date of Instruction","")&amp;IF(N168="",", Instruction Type","")&amp;IF(O168="",", Reinstruction","")&amp;IF(AND(I168="Allocated",Q168=""),", Investigator","")&amp;IF(AND(I168="Allocated",R168=""),", Date Assigned","")&amp;IF(AND(U168="Yes",V168=""),", Licence Check Notes",""),", ","",1))</f>
        <v/>
      </c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2">
        <f>IF(A169="","",IF(OR(A169="",B169="",C169="",E169="",F169="",I169="",J169="",K169="",M169="",N169="",O169="",AND(I169="Allocated",OR(Q169="",R169="")),AND(U169="Yes",V169="")),"Incomplete","Ready"))</f>
        <v/>
      </c>
      <c r="X169" s="23">
        <f>IF(W169&lt;&gt;"Incomplete","",SUBSTITUTE(IF(B169="",", Street Address","")&amp;IF(C169="",", City","")&amp;IF(E169="",", Postcode","")&amp;IF(F169="",", Licensing Authority","")&amp;IF(I169="",", Status","")&amp;IF(J169="",", Firm","")&amp;IF(K169="",", Client","")&amp;IF(M169="",", Date of Instruction","")&amp;IF(N169="",", Instruction Type","")&amp;IF(O169="",", Reinstruction","")&amp;IF(AND(I169="Allocated",Q169=""),", Investigator","")&amp;IF(AND(I169="Allocated",R169=""),", Date Assigned","")&amp;IF(AND(U169="Yes",V169=""),", Licence Check Notes",""),", ","",1))</f>
        <v/>
      </c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2">
        <f>IF(A170="","",IF(OR(A170="",B170="",C170="",E170="",F170="",I170="",J170="",K170="",M170="",N170="",O170="",AND(I170="Allocated",OR(Q170="",R170="")),AND(U170="Yes",V170="")),"Incomplete","Ready"))</f>
        <v/>
      </c>
      <c r="X170" s="23">
        <f>IF(W170&lt;&gt;"Incomplete","",SUBSTITUTE(IF(B170="",", Street Address","")&amp;IF(C170="",", City","")&amp;IF(E170="",", Postcode","")&amp;IF(F170="",", Licensing Authority","")&amp;IF(I170="",", Status","")&amp;IF(J170="",", Firm","")&amp;IF(K170="",", Client","")&amp;IF(M170="",", Date of Instruction","")&amp;IF(N170="",", Instruction Type","")&amp;IF(O170="",", Reinstruction","")&amp;IF(AND(I170="Allocated",Q170=""),", Investigator","")&amp;IF(AND(I170="Allocated",R170=""),", Date Assigned","")&amp;IF(AND(U170="Yes",V170=""),", Licence Check Notes",""),", ","",1))</f>
        <v/>
      </c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2">
        <f>IF(A171="","",IF(OR(A171="",B171="",C171="",E171="",F171="",I171="",J171="",K171="",M171="",N171="",O171="",AND(I171="Allocated",OR(Q171="",R171="")),AND(U171="Yes",V171="")),"Incomplete","Ready"))</f>
        <v/>
      </c>
      <c r="X171" s="23">
        <f>IF(W171&lt;&gt;"Incomplete","",SUBSTITUTE(IF(B171="",", Street Address","")&amp;IF(C171="",", City","")&amp;IF(E171="",", Postcode","")&amp;IF(F171="",", Licensing Authority","")&amp;IF(I171="",", Status","")&amp;IF(J171="",", Firm","")&amp;IF(K171="",", Client","")&amp;IF(M171="",", Date of Instruction","")&amp;IF(N171="",", Instruction Type","")&amp;IF(O171="",", Reinstruction","")&amp;IF(AND(I171="Allocated",Q171=""),", Investigator","")&amp;IF(AND(I171="Allocated",R171=""),", Date Assigned","")&amp;IF(AND(U171="Yes",V171=""),", Licence Check Notes",""),", ","",1))</f>
        <v/>
      </c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2">
        <f>IF(A172="","",IF(OR(A172="",B172="",C172="",E172="",F172="",I172="",J172="",K172="",M172="",N172="",O172="",AND(I172="Allocated",OR(Q172="",R172="")),AND(U172="Yes",V172="")),"Incomplete","Ready"))</f>
        <v/>
      </c>
      <c r="X172" s="23">
        <f>IF(W172&lt;&gt;"Incomplete","",SUBSTITUTE(IF(B172="",", Street Address","")&amp;IF(C172="",", City","")&amp;IF(E172="",", Postcode","")&amp;IF(F172="",", Licensing Authority","")&amp;IF(I172="",", Status","")&amp;IF(J172="",", Firm","")&amp;IF(K172="",", Client","")&amp;IF(M172="",", Date of Instruction","")&amp;IF(N172="",", Instruction Type","")&amp;IF(O172="",", Reinstruction","")&amp;IF(AND(I172="Allocated",Q172=""),", Investigator","")&amp;IF(AND(I172="Allocated",R172=""),", Date Assigned","")&amp;IF(AND(U172="Yes",V172=""),", Licence Check Notes",""),", ","",1))</f>
        <v/>
      </c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2">
        <f>IF(A173="","",IF(OR(A173="",B173="",C173="",E173="",F173="",I173="",J173="",K173="",M173="",N173="",O173="",AND(I173="Allocated",OR(Q173="",R173="")),AND(U173="Yes",V173="")),"Incomplete","Ready"))</f>
        <v/>
      </c>
      <c r="X173" s="23">
        <f>IF(W173&lt;&gt;"Incomplete","",SUBSTITUTE(IF(B173="",", Street Address","")&amp;IF(C173="",", City","")&amp;IF(E173="",", Postcode","")&amp;IF(F173="",", Licensing Authority","")&amp;IF(I173="",", Status","")&amp;IF(J173="",", Firm","")&amp;IF(K173="",", Client","")&amp;IF(M173="",", Date of Instruction","")&amp;IF(N173="",", Instruction Type","")&amp;IF(O173="",", Reinstruction","")&amp;IF(AND(I173="Allocated",Q173=""),", Investigator","")&amp;IF(AND(I173="Allocated",R173=""),", Date Assigned","")&amp;IF(AND(U173="Yes",V173=""),", Licence Check Notes",""),", ","",1))</f>
        <v/>
      </c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2">
        <f>IF(A174="","",IF(OR(A174="",B174="",C174="",E174="",F174="",I174="",J174="",K174="",M174="",N174="",O174="",AND(I174="Allocated",OR(Q174="",R174="")),AND(U174="Yes",V174="")),"Incomplete","Ready"))</f>
        <v/>
      </c>
      <c r="X174" s="23">
        <f>IF(W174&lt;&gt;"Incomplete","",SUBSTITUTE(IF(B174="",", Street Address","")&amp;IF(C174="",", City","")&amp;IF(E174="",", Postcode","")&amp;IF(F174="",", Licensing Authority","")&amp;IF(I174="",", Status","")&amp;IF(J174="",", Firm","")&amp;IF(K174="",", Client","")&amp;IF(M174="",", Date of Instruction","")&amp;IF(N174="",", Instruction Type","")&amp;IF(O174="",", Reinstruction","")&amp;IF(AND(I174="Allocated",Q174=""),", Investigator","")&amp;IF(AND(I174="Allocated",R174=""),", Date Assigned","")&amp;IF(AND(U174="Yes",V174=""),", Licence Check Notes",""),", ","",1))</f>
        <v/>
      </c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2">
        <f>IF(A175="","",IF(OR(A175="",B175="",C175="",E175="",F175="",I175="",J175="",K175="",M175="",N175="",O175="",AND(I175="Allocated",OR(Q175="",R175="")),AND(U175="Yes",V175="")),"Incomplete","Ready"))</f>
        <v/>
      </c>
      <c r="X175" s="23">
        <f>IF(W175&lt;&gt;"Incomplete","",SUBSTITUTE(IF(B175="",", Street Address","")&amp;IF(C175="",", City","")&amp;IF(E175="",", Postcode","")&amp;IF(F175="",", Licensing Authority","")&amp;IF(I175="",", Status","")&amp;IF(J175="",", Firm","")&amp;IF(K175="",", Client","")&amp;IF(M175="",", Date of Instruction","")&amp;IF(N175="",", Instruction Type","")&amp;IF(O175="",", Reinstruction","")&amp;IF(AND(I175="Allocated",Q175=""),", Investigator","")&amp;IF(AND(I175="Allocated",R175=""),", Date Assigned","")&amp;IF(AND(U175="Yes",V175=""),", Licence Check Notes",""),", ","",1))</f>
        <v/>
      </c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2">
        <f>IF(A176="","",IF(OR(A176="",B176="",C176="",E176="",F176="",I176="",J176="",K176="",M176="",N176="",O176="",AND(I176="Allocated",OR(Q176="",R176="")),AND(U176="Yes",V176="")),"Incomplete","Ready"))</f>
        <v/>
      </c>
      <c r="X176" s="23">
        <f>IF(W176&lt;&gt;"Incomplete","",SUBSTITUTE(IF(B176="",", Street Address","")&amp;IF(C176="",", City","")&amp;IF(E176="",", Postcode","")&amp;IF(F176="",", Licensing Authority","")&amp;IF(I176="",", Status","")&amp;IF(J176="",", Firm","")&amp;IF(K176="",", Client","")&amp;IF(M176="",", Date of Instruction","")&amp;IF(N176="",", Instruction Type","")&amp;IF(O176="",", Reinstruction","")&amp;IF(AND(I176="Allocated",Q176=""),", Investigator","")&amp;IF(AND(I176="Allocated",R176=""),", Date Assigned","")&amp;IF(AND(U176="Yes",V176=""),", Licence Check Notes",""),", ","",1))</f>
        <v/>
      </c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2">
        <f>IF(A177="","",IF(OR(A177="",B177="",C177="",E177="",F177="",I177="",J177="",K177="",M177="",N177="",O177="",AND(I177="Allocated",OR(Q177="",R177="")),AND(U177="Yes",V177="")),"Incomplete","Ready"))</f>
        <v/>
      </c>
      <c r="X177" s="23">
        <f>IF(W177&lt;&gt;"Incomplete","",SUBSTITUTE(IF(B177="",", Street Address","")&amp;IF(C177="",", City","")&amp;IF(E177="",", Postcode","")&amp;IF(F177="",", Licensing Authority","")&amp;IF(I177="",", Status","")&amp;IF(J177="",", Firm","")&amp;IF(K177="",", Client","")&amp;IF(M177="",", Date of Instruction","")&amp;IF(N177="",", Instruction Type","")&amp;IF(O177="",", Reinstruction","")&amp;IF(AND(I177="Allocated",Q177=""),", Investigator","")&amp;IF(AND(I177="Allocated",R177=""),", Date Assigned","")&amp;IF(AND(U177="Yes",V177=""),", Licence Check Notes",""),", ","",1))</f>
        <v/>
      </c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2">
        <f>IF(A178="","",IF(OR(A178="",B178="",C178="",E178="",F178="",I178="",J178="",K178="",M178="",N178="",O178="",AND(I178="Allocated",OR(Q178="",R178="")),AND(U178="Yes",V178="")),"Incomplete","Ready"))</f>
        <v/>
      </c>
      <c r="X178" s="23">
        <f>IF(W178&lt;&gt;"Incomplete","",SUBSTITUTE(IF(B178="",", Street Address","")&amp;IF(C178="",", City","")&amp;IF(E178="",", Postcode","")&amp;IF(F178="",", Licensing Authority","")&amp;IF(I178="",", Status","")&amp;IF(J178="",", Firm","")&amp;IF(K178="",", Client","")&amp;IF(M178="",", Date of Instruction","")&amp;IF(N178="",", Instruction Type","")&amp;IF(O178="",", Reinstruction","")&amp;IF(AND(I178="Allocated",Q178=""),", Investigator","")&amp;IF(AND(I178="Allocated",R178=""),", Date Assigned","")&amp;IF(AND(U178="Yes",V178=""),", Licence Check Notes",""),", ","",1))</f>
        <v/>
      </c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2">
        <f>IF(A179="","",IF(OR(A179="",B179="",C179="",E179="",F179="",I179="",J179="",K179="",M179="",N179="",O179="",AND(I179="Allocated",OR(Q179="",R179="")),AND(U179="Yes",V179="")),"Incomplete","Ready"))</f>
        <v/>
      </c>
      <c r="X179" s="23">
        <f>IF(W179&lt;&gt;"Incomplete","",SUBSTITUTE(IF(B179="",", Street Address","")&amp;IF(C179="",", City","")&amp;IF(E179="",", Postcode","")&amp;IF(F179="",", Licensing Authority","")&amp;IF(I179="",", Status","")&amp;IF(J179="",", Firm","")&amp;IF(K179="",", Client","")&amp;IF(M179="",", Date of Instruction","")&amp;IF(N179="",", Instruction Type","")&amp;IF(O179="",", Reinstruction","")&amp;IF(AND(I179="Allocated",Q179=""),", Investigator","")&amp;IF(AND(I179="Allocated",R179=""),", Date Assigned","")&amp;IF(AND(U179="Yes",V179=""),", Licence Check Notes",""),", ","",1))</f>
        <v/>
      </c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2">
        <f>IF(A180="","",IF(OR(A180="",B180="",C180="",E180="",F180="",I180="",J180="",K180="",M180="",N180="",O180="",AND(I180="Allocated",OR(Q180="",R180="")),AND(U180="Yes",V180="")),"Incomplete","Ready"))</f>
        <v/>
      </c>
      <c r="X180" s="23">
        <f>IF(W180&lt;&gt;"Incomplete","",SUBSTITUTE(IF(B180="",", Street Address","")&amp;IF(C180="",", City","")&amp;IF(E180="",", Postcode","")&amp;IF(F180="",", Licensing Authority","")&amp;IF(I180="",", Status","")&amp;IF(J180="",", Firm","")&amp;IF(K180="",", Client","")&amp;IF(M180="",", Date of Instruction","")&amp;IF(N180="",", Instruction Type","")&amp;IF(O180="",", Reinstruction","")&amp;IF(AND(I180="Allocated",Q180=""),", Investigator","")&amp;IF(AND(I180="Allocated",R180=""),", Date Assigned","")&amp;IF(AND(U180="Yes",V180=""),", Licence Check Notes",""),", ","",1))</f>
        <v/>
      </c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2">
        <f>IF(A181="","",IF(OR(A181="",B181="",C181="",E181="",F181="",I181="",J181="",K181="",M181="",N181="",O181="",AND(I181="Allocated",OR(Q181="",R181="")),AND(U181="Yes",V181="")),"Incomplete","Ready"))</f>
        <v/>
      </c>
      <c r="X181" s="23">
        <f>IF(W181&lt;&gt;"Incomplete","",SUBSTITUTE(IF(B181="",", Street Address","")&amp;IF(C181="",", City","")&amp;IF(E181="",", Postcode","")&amp;IF(F181="",", Licensing Authority","")&amp;IF(I181="",", Status","")&amp;IF(J181="",", Firm","")&amp;IF(K181="",", Client","")&amp;IF(M181="",", Date of Instruction","")&amp;IF(N181="",", Instruction Type","")&amp;IF(O181="",", Reinstruction","")&amp;IF(AND(I181="Allocated",Q181=""),", Investigator","")&amp;IF(AND(I181="Allocated",R181=""),", Date Assigned","")&amp;IF(AND(U181="Yes",V181=""),", Licence Check Notes",""),", ","",1))</f>
        <v/>
      </c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2">
        <f>IF(A182="","",IF(OR(A182="",B182="",C182="",E182="",F182="",I182="",J182="",K182="",M182="",N182="",O182="",AND(I182="Allocated",OR(Q182="",R182="")),AND(U182="Yes",V182="")),"Incomplete","Ready"))</f>
        <v/>
      </c>
      <c r="X182" s="23">
        <f>IF(W182&lt;&gt;"Incomplete","",SUBSTITUTE(IF(B182="",", Street Address","")&amp;IF(C182="",", City","")&amp;IF(E182="",", Postcode","")&amp;IF(F182="",", Licensing Authority","")&amp;IF(I182="",", Status","")&amp;IF(J182="",", Firm","")&amp;IF(K182="",", Client","")&amp;IF(M182="",", Date of Instruction","")&amp;IF(N182="",", Instruction Type","")&amp;IF(O182="",", Reinstruction","")&amp;IF(AND(I182="Allocated",Q182=""),", Investigator","")&amp;IF(AND(I182="Allocated",R182=""),", Date Assigned","")&amp;IF(AND(U182="Yes",V182=""),", Licence Check Notes",""),", ","",1))</f>
        <v/>
      </c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2">
        <f>IF(A183="","",IF(OR(A183="",B183="",C183="",E183="",F183="",I183="",J183="",K183="",M183="",N183="",O183="",AND(I183="Allocated",OR(Q183="",R183="")),AND(U183="Yes",V183="")),"Incomplete","Ready"))</f>
        <v/>
      </c>
      <c r="X183" s="23">
        <f>IF(W183&lt;&gt;"Incomplete","",SUBSTITUTE(IF(B183="",", Street Address","")&amp;IF(C183="",", City","")&amp;IF(E183="",", Postcode","")&amp;IF(F183="",", Licensing Authority","")&amp;IF(I183="",", Status","")&amp;IF(J183="",", Firm","")&amp;IF(K183="",", Client","")&amp;IF(M183="",", Date of Instruction","")&amp;IF(N183="",", Instruction Type","")&amp;IF(O183="",", Reinstruction","")&amp;IF(AND(I183="Allocated",Q183=""),", Investigator","")&amp;IF(AND(I183="Allocated",R183=""),", Date Assigned","")&amp;IF(AND(U183="Yes",V183=""),", Licence Check Notes",""),", ","",1))</f>
        <v/>
      </c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2">
        <f>IF(A184="","",IF(OR(A184="",B184="",C184="",E184="",F184="",I184="",J184="",K184="",M184="",N184="",O184="",AND(I184="Allocated",OR(Q184="",R184="")),AND(U184="Yes",V184="")),"Incomplete","Ready"))</f>
        <v/>
      </c>
      <c r="X184" s="23">
        <f>IF(W184&lt;&gt;"Incomplete","",SUBSTITUTE(IF(B184="",", Street Address","")&amp;IF(C184="",", City","")&amp;IF(E184="",", Postcode","")&amp;IF(F184="",", Licensing Authority","")&amp;IF(I184="",", Status","")&amp;IF(J184="",", Firm","")&amp;IF(K184="",", Client","")&amp;IF(M184="",", Date of Instruction","")&amp;IF(N184="",", Instruction Type","")&amp;IF(O184="",", Reinstruction","")&amp;IF(AND(I184="Allocated",Q184=""),", Investigator","")&amp;IF(AND(I184="Allocated",R184=""),", Date Assigned","")&amp;IF(AND(U184="Yes",V184=""),", Licence Check Notes",""),", ","",1))</f>
        <v/>
      </c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2">
        <f>IF(A185="","",IF(OR(A185="",B185="",C185="",E185="",F185="",I185="",J185="",K185="",M185="",N185="",O185="",AND(I185="Allocated",OR(Q185="",R185="")),AND(U185="Yes",V185="")),"Incomplete","Ready"))</f>
        <v/>
      </c>
      <c r="X185" s="23">
        <f>IF(W185&lt;&gt;"Incomplete","",SUBSTITUTE(IF(B185="",", Street Address","")&amp;IF(C185="",", City","")&amp;IF(E185="",", Postcode","")&amp;IF(F185="",", Licensing Authority","")&amp;IF(I185="",", Status","")&amp;IF(J185="",", Firm","")&amp;IF(K185="",", Client","")&amp;IF(M185="",", Date of Instruction","")&amp;IF(N185="",", Instruction Type","")&amp;IF(O185="",", Reinstruction","")&amp;IF(AND(I185="Allocated",Q185=""),", Investigator","")&amp;IF(AND(I185="Allocated",R185=""),", Date Assigned","")&amp;IF(AND(U185="Yes",V185=""),", Licence Check Notes",""),", ","",1))</f>
        <v/>
      </c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2">
        <f>IF(A186="","",IF(OR(A186="",B186="",C186="",E186="",F186="",I186="",J186="",K186="",M186="",N186="",O186="",AND(I186="Allocated",OR(Q186="",R186="")),AND(U186="Yes",V186="")),"Incomplete","Ready"))</f>
        <v/>
      </c>
      <c r="X186" s="23">
        <f>IF(W186&lt;&gt;"Incomplete","",SUBSTITUTE(IF(B186="",", Street Address","")&amp;IF(C186="",", City","")&amp;IF(E186="",", Postcode","")&amp;IF(F186="",", Licensing Authority","")&amp;IF(I186="",", Status","")&amp;IF(J186="",", Firm","")&amp;IF(K186="",", Client","")&amp;IF(M186="",", Date of Instruction","")&amp;IF(N186="",", Instruction Type","")&amp;IF(O186="",", Reinstruction","")&amp;IF(AND(I186="Allocated",Q186=""),", Investigator","")&amp;IF(AND(I186="Allocated",R186=""),", Date Assigned","")&amp;IF(AND(U186="Yes",V186=""),", Licence Check Notes",""),", ","",1))</f>
        <v/>
      </c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2">
        <f>IF(A187="","",IF(OR(A187="",B187="",C187="",E187="",F187="",I187="",J187="",K187="",M187="",N187="",O187="",AND(I187="Allocated",OR(Q187="",R187="")),AND(U187="Yes",V187="")),"Incomplete","Ready"))</f>
        <v/>
      </c>
      <c r="X187" s="23">
        <f>IF(W187&lt;&gt;"Incomplete","",SUBSTITUTE(IF(B187="",", Street Address","")&amp;IF(C187="",", City","")&amp;IF(E187="",", Postcode","")&amp;IF(F187="",", Licensing Authority","")&amp;IF(I187="",", Status","")&amp;IF(J187="",", Firm","")&amp;IF(K187="",", Client","")&amp;IF(M187="",", Date of Instruction","")&amp;IF(N187="",", Instruction Type","")&amp;IF(O187="",", Reinstruction","")&amp;IF(AND(I187="Allocated",Q187=""),", Investigator","")&amp;IF(AND(I187="Allocated",R187=""),", Date Assigned","")&amp;IF(AND(U187="Yes",V187=""),", Licence Check Notes",""),", ","",1))</f>
        <v/>
      </c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2">
        <f>IF(A188="","",IF(OR(A188="",B188="",C188="",E188="",F188="",I188="",J188="",K188="",M188="",N188="",O188="",AND(I188="Allocated",OR(Q188="",R188="")),AND(U188="Yes",V188="")),"Incomplete","Ready"))</f>
        <v/>
      </c>
      <c r="X188" s="23">
        <f>IF(W188&lt;&gt;"Incomplete","",SUBSTITUTE(IF(B188="",", Street Address","")&amp;IF(C188="",", City","")&amp;IF(E188="",", Postcode","")&amp;IF(F188="",", Licensing Authority","")&amp;IF(I188="",", Status","")&amp;IF(J188="",", Firm","")&amp;IF(K188="",", Client","")&amp;IF(M188="",", Date of Instruction","")&amp;IF(N188="",", Instruction Type","")&amp;IF(O188="",", Reinstruction","")&amp;IF(AND(I188="Allocated",Q188=""),", Investigator","")&amp;IF(AND(I188="Allocated",R188=""),", Date Assigned","")&amp;IF(AND(U188="Yes",V188=""),", Licence Check Notes",""),", ","",1))</f>
        <v/>
      </c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2">
        <f>IF(A189="","",IF(OR(A189="",B189="",C189="",E189="",F189="",I189="",J189="",K189="",M189="",N189="",O189="",AND(I189="Allocated",OR(Q189="",R189="")),AND(U189="Yes",V189="")),"Incomplete","Ready"))</f>
        <v/>
      </c>
      <c r="X189" s="23">
        <f>IF(W189&lt;&gt;"Incomplete","",SUBSTITUTE(IF(B189="",", Street Address","")&amp;IF(C189="",", City","")&amp;IF(E189="",", Postcode","")&amp;IF(F189="",", Licensing Authority","")&amp;IF(I189="",", Status","")&amp;IF(J189="",", Firm","")&amp;IF(K189="",", Client","")&amp;IF(M189="",", Date of Instruction","")&amp;IF(N189="",", Instruction Type","")&amp;IF(O189="",", Reinstruction","")&amp;IF(AND(I189="Allocated",Q189=""),", Investigator","")&amp;IF(AND(I189="Allocated",R189=""),", Date Assigned","")&amp;IF(AND(U189="Yes",V189=""),", Licence Check Notes",""),", ","",1))</f>
        <v/>
      </c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2">
        <f>IF(A190="","",IF(OR(A190="",B190="",C190="",E190="",F190="",I190="",J190="",K190="",M190="",N190="",O190="",AND(I190="Allocated",OR(Q190="",R190="")),AND(U190="Yes",V190="")),"Incomplete","Ready"))</f>
        <v/>
      </c>
      <c r="X190" s="23">
        <f>IF(W190&lt;&gt;"Incomplete","",SUBSTITUTE(IF(B190="",", Street Address","")&amp;IF(C190="",", City","")&amp;IF(E190="",", Postcode","")&amp;IF(F190="",", Licensing Authority","")&amp;IF(I190="",", Status","")&amp;IF(J190="",", Firm","")&amp;IF(K190="",", Client","")&amp;IF(M190="",", Date of Instruction","")&amp;IF(N190="",", Instruction Type","")&amp;IF(O190="",", Reinstruction","")&amp;IF(AND(I190="Allocated",Q190=""),", Investigator","")&amp;IF(AND(I190="Allocated",R190=""),", Date Assigned","")&amp;IF(AND(U190="Yes",V190=""),", Licence Check Notes",""),", ","",1))</f>
        <v/>
      </c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2">
        <f>IF(A191="","",IF(OR(A191="",B191="",C191="",E191="",F191="",I191="",J191="",K191="",M191="",N191="",O191="",AND(I191="Allocated",OR(Q191="",R191="")),AND(U191="Yes",V191="")),"Incomplete","Ready"))</f>
        <v/>
      </c>
      <c r="X191" s="23">
        <f>IF(W191&lt;&gt;"Incomplete","",SUBSTITUTE(IF(B191="",", Street Address","")&amp;IF(C191="",", City","")&amp;IF(E191="",", Postcode","")&amp;IF(F191="",", Licensing Authority","")&amp;IF(I191="",", Status","")&amp;IF(J191="",", Firm","")&amp;IF(K191="",", Client","")&amp;IF(M191="",", Date of Instruction","")&amp;IF(N191="",", Instruction Type","")&amp;IF(O191="",", Reinstruction","")&amp;IF(AND(I191="Allocated",Q191=""),", Investigator","")&amp;IF(AND(I191="Allocated",R191=""),", Date Assigned","")&amp;IF(AND(U191="Yes",V191=""),", Licence Check Notes",""),", ","",1))</f>
        <v/>
      </c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2">
        <f>IF(A192="","",IF(OR(A192="",B192="",C192="",E192="",F192="",I192="",J192="",K192="",M192="",N192="",O192="",AND(I192="Allocated",OR(Q192="",R192="")),AND(U192="Yes",V192="")),"Incomplete","Ready"))</f>
        <v/>
      </c>
      <c r="X192" s="23">
        <f>IF(W192&lt;&gt;"Incomplete","",SUBSTITUTE(IF(B192="",", Street Address","")&amp;IF(C192="",", City","")&amp;IF(E192="",", Postcode","")&amp;IF(F192="",", Licensing Authority","")&amp;IF(I192="",", Status","")&amp;IF(J192="",", Firm","")&amp;IF(K192="",", Client","")&amp;IF(M192="",", Date of Instruction","")&amp;IF(N192="",", Instruction Type","")&amp;IF(O192="",", Reinstruction","")&amp;IF(AND(I192="Allocated",Q192=""),", Investigator","")&amp;IF(AND(I192="Allocated",R192=""),", Date Assigned","")&amp;IF(AND(U192="Yes",V192=""),", Licence Check Notes",""),", ","",1))</f>
        <v/>
      </c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2">
        <f>IF(A193="","",IF(OR(A193="",B193="",C193="",E193="",F193="",I193="",J193="",K193="",M193="",N193="",O193="",AND(I193="Allocated",OR(Q193="",R193="")),AND(U193="Yes",V193="")),"Incomplete","Ready"))</f>
        <v/>
      </c>
      <c r="X193" s="23">
        <f>IF(W193&lt;&gt;"Incomplete","",SUBSTITUTE(IF(B193="",", Street Address","")&amp;IF(C193="",", City","")&amp;IF(E193="",", Postcode","")&amp;IF(F193="",", Licensing Authority","")&amp;IF(I193="",", Status","")&amp;IF(J193="",", Firm","")&amp;IF(K193="",", Client","")&amp;IF(M193="",", Date of Instruction","")&amp;IF(N193="",", Instruction Type","")&amp;IF(O193="",", Reinstruction","")&amp;IF(AND(I193="Allocated",Q193=""),", Investigator","")&amp;IF(AND(I193="Allocated",R193=""),", Date Assigned","")&amp;IF(AND(U193="Yes",V193=""),", Licence Check Notes",""),", ","",1))</f>
        <v/>
      </c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2">
        <f>IF(A194="","",IF(OR(A194="",B194="",C194="",E194="",F194="",I194="",J194="",K194="",M194="",N194="",O194="",AND(I194="Allocated",OR(Q194="",R194="")),AND(U194="Yes",V194="")),"Incomplete","Ready"))</f>
        <v/>
      </c>
      <c r="X194" s="23">
        <f>IF(W194&lt;&gt;"Incomplete","",SUBSTITUTE(IF(B194="",", Street Address","")&amp;IF(C194="",", City","")&amp;IF(E194="",", Postcode","")&amp;IF(F194="",", Licensing Authority","")&amp;IF(I194="",", Status","")&amp;IF(J194="",", Firm","")&amp;IF(K194="",", Client","")&amp;IF(M194="",", Date of Instruction","")&amp;IF(N194="",", Instruction Type","")&amp;IF(O194="",", Reinstruction","")&amp;IF(AND(I194="Allocated",Q194=""),", Investigator","")&amp;IF(AND(I194="Allocated",R194=""),", Date Assigned","")&amp;IF(AND(U194="Yes",V194=""),", Licence Check Notes",""),", ","",1))</f>
        <v/>
      </c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2">
        <f>IF(A195="","",IF(OR(A195="",B195="",C195="",E195="",F195="",I195="",J195="",K195="",M195="",N195="",O195="",AND(I195="Allocated",OR(Q195="",R195="")),AND(U195="Yes",V195="")),"Incomplete","Ready"))</f>
        <v/>
      </c>
      <c r="X195" s="23">
        <f>IF(W195&lt;&gt;"Incomplete","",SUBSTITUTE(IF(B195="",", Street Address","")&amp;IF(C195="",", City","")&amp;IF(E195="",", Postcode","")&amp;IF(F195="",", Licensing Authority","")&amp;IF(I195="",", Status","")&amp;IF(J195="",", Firm","")&amp;IF(K195="",", Client","")&amp;IF(M195="",", Date of Instruction","")&amp;IF(N195="",", Instruction Type","")&amp;IF(O195="",", Reinstruction","")&amp;IF(AND(I195="Allocated",Q195=""),", Investigator","")&amp;IF(AND(I195="Allocated",R195=""),", Date Assigned","")&amp;IF(AND(U195="Yes",V195=""),", Licence Check Notes",""),", ","",1))</f>
        <v/>
      </c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2">
        <f>IF(A196="","",IF(OR(A196="",B196="",C196="",E196="",F196="",I196="",J196="",K196="",M196="",N196="",O196="",AND(I196="Allocated",OR(Q196="",R196="")),AND(U196="Yes",V196="")),"Incomplete","Ready"))</f>
        <v/>
      </c>
      <c r="X196" s="23">
        <f>IF(W196&lt;&gt;"Incomplete","",SUBSTITUTE(IF(B196="",", Street Address","")&amp;IF(C196="",", City","")&amp;IF(E196="",", Postcode","")&amp;IF(F196="",", Licensing Authority","")&amp;IF(I196="",", Status","")&amp;IF(J196="",", Firm","")&amp;IF(K196="",", Client","")&amp;IF(M196="",", Date of Instruction","")&amp;IF(N196="",", Instruction Type","")&amp;IF(O196="",", Reinstruction","")&amp;IF(AND(I196="Allocated",Q196=""),", Investigator","")&amp;IF(AND(I196="Allocated",R196=""),", Date Assigned","")&amp;IF(AND(U196="Yes",V196=""),", Licence Check Notes",""),", ","",1))</f>
        <v/>
      </c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2">
        <f>IF(A197="","",IF(OR(A197="",B197="",C197="",E197="",F197="",I197="",J197="",K197="",M197="",N197="",O197="",AND(I197="Allocated",OR(Q197="",R197="")),AND(U197="Yes",V197="")),"Incomplete","Ready"))</f>
        <v/>
      </c>
      <c r="X197" s="23">
        <f>IF(W197&lt;&gt;"Incomplete","",SUBSTITUTE(IF(B197="",", Street Address","")&amp;IF(C197="",", City","")&amp;IF(E197="",", Postcode","")&amp;IF(F197="",", Licensing Authority","")&amp;IF(I197="",", Status","")&amp;IF(J197="",", Firm","")&amp;IF(K197="",", Client","")&amp;IF(M197="",", Date of Instruction","")&amp;IF(N197="",", Instruction Type","")&amp;IF(O197="",", Reinstruction","")&amp;IF(AND(I197="Allocated",Q197=""),", Investigator","")&amp;IF(AND(I197="Allocated",R197=""),", Date Assigned","")&amp;IF(AND(U197="Yes",V197=""),", Licence Check Notes",""),", ","",1))</f>
        <v/>
      </c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2">
        <f>IF(A198="","",IF(OR(A198="",B198="",C198="",E198="",F198="",I198="",J198="",K198="",M198="",N198="",O198="",AND(I198="Allocated",OR(Q198="",R198="")),AND(U198="Yes",V198="")),"Incomplete","Ready"))</f>
        <v/>
      </c>
      <c r="X198" s="23">
        <f>IF(W198&lt;&gt;"Incomplete","",SUBSTITUTE(IF(B198="",", Street Address","")&amp;IF(C198="",", City","")&amp;IF(E198="",", Postcode","")&amp;IF(F198="",", Licensing Authority","")&amp;IF(I198="",", Status","")&amp;IF(J198="",", Firm","")&amp;IF(K198="",", Client","")&amp;IF(M198="",", Date of Instruction","")&amp;IF(N198="",", Instruction Type","")&amp;IF(O198="",", Reinstruction","")&amp;IF(AND(I198="Allocated",Q198=""),", Investigator","")&amp;IF(AND(I198="Allocated",R198=""),", Date Assigned","")&amp;IF(AND(U198="Yes",V198=""),", Licence Check Notes",""),", ","",1))</f>
        <v/>
      </c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2">
        <f>IF(A199="","",IF(OR(A199="",B199="",C199="",E199="",F199="",I199="",J199="",K199="",M199="",N199="",O199="",AND(I199="Allocated",OR(Q199="",R199="")),AND(U199="Yes",V199="")),"Incomplete","Ready"))</f>
        <v/>
      </c>
      <c r="X199" s="23">
        <f>IF(W199&lt;&gt;"Incomplete","",SUBSTITUTE(IF(B199="",", Street Address","")&amp;IF(C199="",", City","")&amp;IF(E199="",", Postcode","")&amp;IF(F199="",", Licensing Authority","")&amp;IF(I199="",", Status","")&amp;IF(J199="",", Firm","")&amp;IF(K199="",", Client","")&amp;IF(M199="",", Date of Instruction","")&amp;IF(N199="",", Instruction Type","")&amp;IF(O199="",", Reinstruction","")&amp;IF(AND(I199="Allocated",Q199=""),", Investigator","")&amp;IF(AND(I199="Allocated",R199=""),", Date Assigned","")&amp;IF(AND(U199="Yes",V199=""),", Licence Check Notes",""),", ","",1))</f>
        <v/>
      </c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2">
        <f>IF(A200="","",IF(OR(A200="",B200="",C200="",E200="",F200="",I200="",J200="",K200="",M200="",N200="",O200="",AND(I200="Allocated",OR(Q200="",R200="")),AND(U200="Yes",V200="")),"Incomplete","Ready"))</f>
        <v/>
      </c>
      <c r="X200" s="23">
        <f>IF(W200&lt;&gt;"Incomplete","",SUBSTITUTE(IF(B200="",", Street Address","")&amp;IF(C200="",", City","")&amp;IF(E200="",", Postcode","")&amp;IF(F200="",", Licensing Authority","")&amp;IF(I200="",", Status","")&amp;IF(J200="",", Firm","")&amp;IF(K200="",", Client","")&amp;IF(M200="",", Date of Instruction","")&amp;IF(N200="",", Instruction Type","")&amp;IF(O200="",", Reinstruction","")&amp;IF(AND(I200="Allocated",Q200=""),", Investigator","")&amp;IF(AND(I200="Allocated",R200=""),", Date Assigned","")&amp;IF(AND(U200="Yes",V200=""),", Licence Check Notes",""),", ","",1))</f>
        <v/>
      </c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2">
        <f>IF(A201="","",IF(OR(A201="",B201="",C201="",E201="",F201="",I201="",J201="",K201="",M201="",N201="",O201="",AND(I201="Allocated",OR(Q201="",R201="")),AND(U201="Yes",V201="")),"Incomplete","Ready"))</f>
        <v/>
      </c>
      <c r="X201" s="23">
        <f>IF(W201&lt;&gt;"Incomplete","",SUBSTITUTE(IF(B201="",", Street Address","")&amp;IF(C201="",", City","")&amp;IF(E201="",", Postcode","")&amp;IF(F201="",", Licensing Authority","")&amp;IF(I201="",", Status","")&amp;IF(J201="",", Firm","")&amp;IF(K201="",", Client","")&amp;IF(M201="",", Date of Instruction","")&amp;IF(N201="",", Instruction Type","")&amp;IF(O201="",", Reinstruction","")&amp;IF(AND(I201="Allocated",Q201=""),", Investigator","")&amp;IF(AND(I201="Allocated",R201=""),", Date Assigned","")&amp;IF(AND(U201="Yes",V201=""),", Licence Check Notes",""),", ","",1))</f>
        <v/>
      </c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2">
        <f>IF(A202="","",IF(OR(A202="",B202="",C202="",E202="",F202="",I202="",J202="",K202="",M202="",N202="",O202="",AND(I202="Allocated",OR(Q202="",R202="")),AND(U202="Yes",V202="")),"Incomplete","Ready"))</f>
        <v/>
      </c>
      <c r="X202" s="23">
        <f>IF(W202&lt;&gt;"Incomplete","",SUBSTITUTE(IF(B202="",", Street Address","")&amp;IF(C202="",", City","")&amp;IF(E202="",", Postcode","")&amp;IF(F202="",", Licensing Authority","")&amp;IF(I202="",", Status","")&amp;IF(J202="",", Firm","")&amp;IF(K202="",", Client","")&amp;IF(M202="",", Date of Instruction","")&amp;IF(N202="",", Instruction Type","")&amp;IF(O202="",", Reinstruction","")&amp;IF(AND(I202="Allocated",Q202=""),", Investigator","")&amp;IF(AND(I202="Allocated",R202=""),", Date Assigned","")&amp;IF(AND(U202="Yes",V202=""),", Licence Check Notes",""),", ","",1))</f>
        <v/>
      </c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2">
        <f>IF(A203="","",IF(OR(A203="",B203="",C203="",E203="",F203="",I203="",J203="",K203="",M203="",N203="",O203="",AND(I203="Allocated",OR(Q203="",R203="")),AND(U203="Yes",V203="")),"Incomplete","Ready"))</f>
        <v/>
      </c>
      <c r="X203" s="23">
        <f>IF(W203&lt;&gt;"Incomplete","",SUBSTITUTE(IF(B203="",", Street Address","")&amp;IF(C203="",", City","")&amp;IF(E203="",", Postcode","")&amp;IF(F203="",", Licensing Authority","")&amp;IF(I203="",", Status","")&amp;IF(J203="",", Firm","")&amp;IF(K203="",", Client","")&amp;IF(M203="",", Date of Instruction","")&amp;IF(N203="",", Instruction Type","")&amp;IF(O203="",", Reinstruction","")&amp;IF(AND(I203="Allocated",Q203=""),", Investigator","")&amp;IF(AND(I203="Allocated",R203=""),", Date Assigned","")&amp;IF(AND(U203="Yes",V203=""),", Licence Check Notes",""),", ","",1))</f>
        <v/>
      </c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2">
        <f>IF(A204="","",IF(OR(A204="",B204="",C204="",E204="",F204="",I204="",J204="",K204="",M204="",N204="",O204="",AND(I204="Allocated",OR(Q204="",R204="")),AND(U204="Yes",V204="")),"Incomplete","Ready"))</f>
        <v/>
      </c>
      <c r="X204" s="23">
        <f>IF(W204&lt;&gt;"Incomplete","",SUBSTITUTE(IF(B204="",", Street Address","")&amp;IF(C204="",", City","")&amp;IF(E204="",", Postcode","")&amp;IF(F204="",", Licensing Authority","")&amp;IF(I204="",", Status","")&amp;IF(J204="",", Firm","")&amp;IF(K204="",", Client","")&amp;IF(M204="",", Date of Instruction","")&amp;IF(N204="",", Instruction Type","")&amp;IF(O204="",", Reinstruction","")&amp;IF(AND(I204="Allocated",Q204=""),", Investigator","")&amp;IF(AND(I204="Allocated",R204=""),", Date Assigned","")&amp;IF(AND(U204="Yes",V204=""),", Licence Check Notes",""),", ","",1))</f>
        <v/>
      </c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2">
        <f>IF(A205="","",IF(OR(A205="",B205="",C205="",E205="",F205="",I205="",J205="",K205="",M205="",N205="",O205="",AND(I205="Allocated",OR(Q205="",R205="")),AND(U205="Yes",V205="")),"Incomplete","Ready"))</f>
        <v/>
      </c>
      <c r="X205" s="23">
        <f>IF(W205&lt;&gt;"Incomplete","",SUBSTITUTE(IF(B205="",", Street Address","")&amp;IF(C205="",", City","")&amp;IF(E205="",", Postcode","")&amp;IF(F205="",", Licensing Authority","")&amp;IF(I205="",", Status","")&amp;IF(J205="",", Firm","")&amp;IF(K205="",", Client","")&amp;IF(M205="",", Date of Instruction","")&amp;IF(N205="",", Instruction Type","")&amp;IF(O205="",", Reinstruction","")&amp;IF(AND(I205="Allocated",Q205=""),", Investigator","")&amp;IF(AND(I205="Allocated",R205=""),", Date Assigned","")&amp;IF(AND(U205="Yes",V205=""),", Licence Check Notes",""),", ","",1))</f>
        <v/>
      </c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2">
        <f>IF(A206="","",IF(OR(A206="",B206="",C206="",E206="",F206="",I206="",J206="",K206="",M206="",N206="",O206="",AND(I206="Allocated",OR(Q206="",R206="")),AND(U206="Yes",V206="")),"Incomplete","Ready"))</f>
        <v/>
      </c>
      <c r="X206" s="23">
        <f>IF(W206&lt;&gt;"Incomplete","",SUBSTITUTE(IF(B206="",", Street Address","")&amp;IF(C206="",", City","")&amp;IF(E206="",", Postcode","")&amp;IF(F206="",", Licensing Authority","")&amp;IF(I206="",", Status","")&amp;IF(J206="",", Firm","")&amp;IF(K206="",", Client","")&amp;IF(M206="",", Date of Instruction","")&amp;IF(N206="",", Instruction Type","")&amp;IF(O206="",", Reinstruction","")&amp;IF(AND(I206="Allocated",Q206=""),", Investigator","")&amp;IF(AND(I206="Allocated",R206=""),", Date Assigned","")&amp;IF(AND(U206="Yes",V206=""),", Licence Check Notes",""),", ","",1))</f>
        <v/>
      </c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2">
        <f>IF(A207="","",IF(OR(A207="",B207="",C207="",E207="",F207="",I207="",J207="",K207="",M207="",N207="",O207="",AND(I207="Allocated",OR(Q207="",R207="")),AND(U207="Yes",V207="")),"Incomplete","Ready"))</f>
        <v/>
      </c>
      <c r="X207" s="23">
        <f>IF(W207&lt;&gt;"Incomplete","",SUBSTITUTE(IF(B207="",", Street Address","")&amp;IF(C207="",", City","")&amp;IF(E207="",", Postcode","")&amp;IF(F207="",", Licensing Authority","")&amp;IF(I207="",", Status","")&amp;IF(J207="",", Firm","")&amp;IF(K207="",", Client","")&amp;IF(M207="",", Date of Instruction","")&amp;IF(N207="",", Instruction Type","")&amp;IF(O207="",", Reinstruction","")&amp;IF(AND(I207="Allocated",Q207=""),", Investigator","")&amp;IF(AND(I207="Allocated",R207=""),", Date Assigned","")&amp;IF(AND(U207="Yes",V207=""),", Licence Check Notes",""),", ","",1))</f>
        <v/>
      </c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2">
        <f>IF(A208="","",IF(OR(A208="",B208="",C208="",E208="",F208="",I208="",J208="",K208="",M208="",N208="",O208="",AND(I208="Allocated",OR(Q208="",R208="")),AND(U208="Yes",V208="")),"Incomplete","Ready"))</f>
        <v/>
      </c>
      <c r="X208" s="23">
        <f>IF(W208&lt;&gt;"Incomplete","",SUBSTITUTE(IF(B208="",", Street Address","")&amp;IF(C208="",", City","")&amp;IF(E208="",", Postcode","")&amp;IF(F208="",", Licensing Authority","")&amp;IF(I208="",", Status","")&amp;IF(J208="",", Firm","")&amp;IF(K208="",", Client","")&amp;IF(M208="",", Date of Instruction","")&amp;IF(N208="",", Instruction Type","")&amp;IF(O208="",", Reinstruction","")&amp;IF(AND(I208="Allocated",Q208=""),", Investigator","")&amp;IF(AND(I208="Allocated",R208=""),", Date Assigned","")&amp;IF(AND(U208="Yes",V208=""),", Licence Check Notes",""),", ","",1))</f>
        <v/>
      </c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2">
        <f>IF(A209="","",IF(OR(A209="",B209="",C209="",E209="",F209="",I209="",J209="",K209="",M209="",N209="",O209="",AND(I209="Allocated",OR(Q209="",R209="")),AND(U209="Yes",V209="")),"Incomplete","Ready"))</f>
        <v/>
      </c>
      <c r="X209" s="23">
        <f>IF(W209&lt;&gt;"Incomplete","",SUBSTITUTE(IF(B209="",", Street Address","")&amp;IF(C209="",", City","")&amp;IF(E209="",", Postcode","")&amp;IF(F209="",", Licensing Authority","")&amp;IF(I209="",", Status","")&amp;IF(J209="",", Firm","")&amp;IF(K209="",", Client","")&amp;IF(M209="",", Date of Instruction","")&amp;IF(N209="",", Instruction Type","")&amp;IF(O209="",", Reinstruction","")&amp;IF(AND(I209="Allocated",Q209=""),", Investigator","")&amp;IF(AND(I209="Allocated",R209=""),", Date Assigned","")&amp;IF(AND(U209="Yes",V209=""),", Licence Check Notes",""),", ","",1))</f>
        <v/>
      </c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2">
        <f>IF(A210="","",IF(OR(A210="",B210="",C210="",E210="",F210="",I210="",J210="",K210="",M210="",N210="",O210="",AND(I210="Allocated",OR(Q210="",R210="")),AND(U210="Yes",V210="")),"Incomplete","Ready"))</f>
        <v/>
      </c>
      <c r="X210" s="23">
        <f>IF(W210&lt;&gt;"Incomplete","",SUBSTITUTE(IF(B210="",", Street Address","")&amp;IF(C210="",", City","")&amp;IF(E210="",", Postcode","")&amp;IF(F210="",", Licensing Authority","")&amp;IF(I210="",", Status","")&amp;IF(J210="",", Firm","")&amp;IF(K210="",", Client","")&amp;IF(M210="",", Date of Instruction","")&amp;IF(N210="",", Instruction Type","")&amp;IF(O210="",", Reinstruction","")&amp;IF(AND(I210="Allocated",Q210=""),", Investigator","")&amp;IF(AND(I210="Allocated",R210=""),", Date Assigned","")&amp;IF(AND(U210="Yes",V210=""),", Licence Check Notes",""),", ","",1))</f>
        <v/>
      </c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2">
        <f>IF(A211="","",IF(OR(A211="",B211="",C211="",E211="",F211="",I211="",J211="",K211="",M211="",N211="",O211="",AND(I211="Allocated",OR(Q211="",R211="")),AND(U211="Yes",V211="")),"Incomplete","Ready"))</f>
        <v/>
      </c>
      <c r="X211" s="23">
        <f>IF(W211&lt;&gt;"Incomplete","",SUBSTITUTE(IF(B211="",", Street Address","")&amp;IF(C211="",", City","")&amp;IF(E211="",", Postcode","")&amp;IF(F211="",", Licensing Authority","")&amp;IF(I211="",", Status","")&amp;IF(J211="",", Firm","")&amp;IF(K211="",", Client","")&amp;IF(M211="",", Date of Instruction","")&amp;IF(N211="",", Instruction Type","")&amp;IF(O211="",", Reinstruction","")&amp;IF(AND(I211="Allocated",Q211=""),", Investigator","")&amp;IF(AND(I211="Allocated",R211=""),", Date Assigned","")&amp;IF(AND(U211="Yes",V211=""),", Licence Check Notes",""),", ","",1))</f>
        <v/>
      </c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2">
        <f>IF(A212="","",IF(OR(A212="",B212="",C212="",E212="",F212="",I212="",J212="",K212="",M212="",N212="",O212="",AND(I212="Allocated",OR(Q212="",R212="")),AND(U212="Yes",V212="")),"Incomplete","Ready"))</f>
        <v/>
      </c>
      <c r="X212" s="23">
        <f>IF(W212&lt;&gt;"Incomplete","",SUBSTITUTE(IF(B212="",", Street Address","")&amp;IF(C212="",", City","")&amp;IF(E212="",", Postcode","")&amp;IF(F212="",", Licensing Authority","")&amp;IF(I212="",", Status","")&amp;IF(J212="",", Firm","")&amp;IF(K212="",", Client","")&amp;IF(M212="",", Date of Instruction","")&amp;IF(N212="",", Instruction Type","")&amp;IF(O212="",", Reinstruction","")&amp;IF(AND(I212="Allocated",Q212=""),", Investigator","")&amp;IF(AND(I212="Allocated",R212=""),", Date Assigned","")&amp;IF(AND(U212="Yes",V212=""),", Licence Check Notes",""),", ","",1))</f>
        <v/>
      </c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2">
        <f>IF(A213="","",IF(OR(A213="",B213="",C213="",E213="",F213="",I213="",J213="",K213="",M213="",N213="",O213="",AND(I213="Allocated",OR(Q213="",R213="")),AND(U213="Yes",V213="")),"Incomplete","Ready"))</f>
        <v/>
      </c>
      <c r="X213" s="23">
        <f>IF(W213&lt;&gt;"Incomplete","",SUBSTITUTE(IF(B213="",", Street Address","")&amp;IF(C213="",", City","")&amp;IF(E213="",", Postcode","")&amp;IF(F213="",", Licensing Authority","")&amp;IF(I213="",", Status","")&amp;IF(J213="",", Firm","")&amp;IF(K213="",", Client","")&amp;IF(M213="",", Date of Instruction","")&amp;IF(N213="",", Instruction Type","")&amp;IF(O213="",", Reinstruction","")&amp;IF(AND(I213="Allocated",Q213=""),", Investigator","")&amp;IF(AND(I213="Allocated",R213=""),", Date Assigned","")&amp;IF(AND(U213="Yes",V213=""),", Licence Check Notes",""),", ","",1))</f>
        <v/>
      </c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2">
        <f>IF(A214="","",IF(OR(A214="",B214="",C214="",E214="",F214="",I214="",J214="",K214="",M214="",N214="",O214="",AND(I214="Allocated",OR(Q214="",R214="")),AND(U214="Yes",V214="")),"Incomplete","Ready"))</f>
        <v/>
      </c>
      <c r="X214" s="23">
        <f>IF(W214&lt;&gt;"Incomplete","",SUBSTITUTE(IF(B214="",", Street Address","")&amp;IF(C214="",", City","")&amp;IF(E214="",", Postcode","")&amp;IF(F214="",", Licensing Authority","")&amp;IF(I214="",", Status","")&amp;IF(J214="",", Firm","")&amp;IF(K214="",", Client","")&amp;IF(M214="",", Date of Instruction","")&amp;IF(N214="",", Instruction Type","")&amp;IF(O214="",", Reinstruction","")&amp;IF(AND(I214="Allocated",Q214=""),", Investigator","")&amp;IF(AND(I214="Allocated",R214=""),", Date Assigned","")&amp;IF(AND(U214="Yes",V214=""),", Licence Check Notes",""),", ","",1))</f>
        <v/>
      </c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2">
        <f>IF(A215="","",IF(OR(A215="",B215="",C215="",E215="",F215="",I215="",J215="",K215="",M215="",N215="",O215="",AND(I215="Allocated",OR(Q215="",R215="")),AND(U215="Yes",V215="")),"Incomplete","Ready"))</f>
        <v/>
      </c>
      <c r="X215" s="23">
        <f>IF(W215&lt;&gt;"Incomplete","",SUBSTITUTE(IF(B215="",", Street Address","")&amp;IF(C215="",", City","")&amp;IF(E215="",", Postcode","")&amp;IF(F215="",", Licensing Authority","")&amp;IF(I215="",", Status","")&amp;IF(J215="",", Firm","")&amp;IF(K215="",", Client","")&amp;IF(M215="",", Date of Instruction","")&amp;IF(N215="",", Instruction Type","")&amp;IF(O215="",", Reinstruction","")&amp;IF(AND(I215="Allocated",Q215=""),", Investigator","")&amp;IF(AND(I215="Allocated",R215=""),", Date Assigned","")&amp;IF(AND(U215="Yes",V215=""),", Licence Check Notes",""),", ","",1))</f>
        <v/>
      </c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2">
        <f>IF(A216="","",IF(OR(A216="",B216="",C216="",E216="",F216="",I216="",J216="",K216="",M216="",N216="",O216="",AND(I216="Allocated",OR(Q216="",R216="")),AND(U216="Yes",V216="")),"Incomplete","Ready"))</f>
        <v/>
      </c>
      <c r="X216" s="23">
        <f>IF(W216&lt;&gt;"Incomplete","",SUBSTITUTE(IF(B216="",", Street Address","")&amp;IF(C216="",", City","")&amp;IF(E216="",", Postcode","")&amp;IF(F216="",", Licensing Authority","")&amp;IF(I216="",", Status","")&amp;IF(J216="",", Firm","")&amp;IF(K216="",", Client","")&amp;IF(M216="",", Date of Instruction","")&amp;IF(N216="",", Instruction Type","")&amp;IF(O216="",", Reinstruction","")&amp;IF(AND(I216="Allocated",Q216=""),", Investigator","")&amp;IF(AND(I216="Allocated",R216=""),", Date Assigned","")&amp;IF(AND(U216="Yes",V216=""),", Licence Check Notes",""),", ","",1))</f>
        <v/>
      </c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2">
        <f>IF(A217="","",IF(OR(A217="",B217="",C217="",E217="",F217="",I217="",J217="",K217="",M217="",N217="",O217="",AND(I217="Allocated",OR(Q217="",R217="")),AND(U217="Yes",V217="")),"Incomplete","Ready"))</f>
        <v/>
      </c>
      <c r="X217" s="23">
        <f>IF(W217&lt;&gt;"Incomplete","",SUBSTITUTE(IF(B217="",", Street Address","")&amp;IF(C217="",", City","")&amp;IF(E217="",", Postcode","")&amp;IF(F217="",", Licensing Authority","")&amp;IF(I217="",", Status","")&amp;IF(J217="",", Firm","")&amp;IF(K217="",", Client","")&amp;IF(M217="",", Date of Instruction","")&amp;IF(N217="",", Instruction Type","")&amp;IF(O217="",", Reinstruction","")&amp;IF(AND(I217="Allocated",Q217=""),", Investigator","")&amp;IF(AND(I217="Allocated",R217=""),", Date Assigned","")&amp;IF(AND(U217="Yes",V217=""),", Licence Check Notes",""),", ","",1))</f>
        <v/>
      </c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2">
        <f>IF(A218="","",IF(OR(A218="",B218="",C218="",E218="",F218="",I218="",J218="",K218="",M218="",N218="",O218="",AND(I218="Allocated",OR(Q218="",R218="")),AND(U218="Yes",V218="")),"Incomplete","Ready"))</f>
        <v/>
      </c>
      <c r="X218" s="23">
        <f>IF(W218&lt;&gt;"Incomplete","",SUBSTITUTE(IF(B218="",", Street Address","")&amp;IF(C218="",", City","")&amp;IF(E218="",", Postcode","")&amp;IF(F218="",", Licensing Authority","")&amp;IF(I218="",", Status","")&amp;IF(J218="",", Firm","")&amp;IF(K218="",", Client","")&amp;IF(M218="",", Date of Instruction","")&amp;IF(N218="",", Instruction Type","")&amp;IF(O218="",", Reinstruction","")&amp;IF(AND(I218="Allocated",Q218=""),", Investigator","")&amp;IF(AND(I218="Allocated",R218=""),", Date Assigned","")&amp;IF(AND(U218="Yes",V218=""),", Licence Check Notes",""),", ","",1))</f>
        <v/>
      </c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2">
        <f>IF(A219="","",IF(OR(A219="",B219="",C219="",E219="",F219="",I219="",J219="",K219="",M219="",N219="",O219="",AND(I219="Allocated",OR(Q219="",R219="")),AND(U219="Yes",V219="")),"Incomplete","Ready"))</f>
        <v/>
      </c>
      <c r="X219" s="23">
        <f>IF(W219&lt;&gt;"Incomplete","",SUBSTITUTE(IF(B219="",", Street Address","")&amp;IF(C219="",", City","")&amp;IF(E219="",", Postcode","")&amp;IF(F219="",", Licensing Authority","")&amp;IF(I219="",", Status","")&amp;IF(J219="",", Firm","")&amp;IF(K219="",", Client","")&amp;IF(M219="",", Date of Instruction","")&amp;IF(N219="",", Instruction Type","")&amp;IF(O219="",", Reinstruction","")&amp;IF(AND(I219="Allocated",Q219=""),", Investigator","")&amp;IF(AND(I219="Allocated",R219=""),", Date Assigned","")&amp;IF(AND(U219="Yes",V219=""),", Licence Check Notes",""),", ","",1))</f>
        <v/>
      </c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2">
        <f>IF(A220="","",IF(OR(A220="",B220="",C220="",E220="",F220="",I220="",J220="",K220="",M220="",N220="",O220="",AND(I220="Allocated",OR(Q220="",R220="")),AND(U220="Yes",V220="")),"Incomplete","Ready"))</f>
        <v/>
      </c>
      <c r="X220" s="23">
        <f>IF(W220&lt;&gt;"Incomplete","",SUBSTITUTE(IF(B220="",", Street Address","")&amp;IF(C220="",", City","")&amp;IF(E220="",", Postcode","")&amp;IF(F220="",", Licensing Authority","")&amp;IF(I220="",", Status","")&amp;IF(J220="",", Firm","")&amp;IF(K220="",", Client","")&amp;IF(M220="",", Date of Instruction","")&amp;IF(N220="",", Instruction Type","")&amp;IF(O220="",", Reinstruction","")&amp;IF(AND(I220="Allocated",Q220=""),", Investigator","")&amp;IF(AND(I220="Allocated",R220=""),", Date Assigned","")&amp;IF(AND(U220="Yes",V220=""),", Licence Check Notes",""),", ","",1))</f>
        <v/>
      </c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2">
        <f>IF(A221="","",IF(OR(A221="",B221="",C221="",E221="",F221="",I221="",J221="",K221="",M221="",N221="",O221="",AND(I221="Allocated",OR(Q221="",R221="")),AND(U221="Yes",V221="")),"Incomplete","Ready"))</f>
        <v/>
      </c>
      <c r="X221" s="23">
        <f>IF(W221&lt;&gt;"Incomplete","",SUBSTITUTE(IF(B221="",", Street Address","")&amp;IF(C221="",", City","")&amp;IF(E221="",", Postcode","")&amp;IF(F221="",", Licensing Authority","")&amp;IF(I221="",", Status","")&amp;IF(J221="",", Firm","")&amp;IF(K221="",", Client","")&amp;IF(M221="",", Date of Instruction","")&amp;IF(N221="",", Instruction Type","")&amp;IF(O221="",", Reinstruction","")&amp;IF(AND(I221="Allocated",Q221=""),", Investigator","")&amp;IF(AND(I221="Allocated",R221=""),", Date Assigned","")&amp;IF(AND(U221="Yes",V221=""),", Licence Check Notes",""),", ","",1))</f>
        <v/>
      </c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2">
        <f>IF(A222="","",IF(OR(A222="",B222="",C222="",E222="",F222="",I222="",J222="",K222="",M222="",N222="",O222="",AND(I222="Allocated",OR(Q222="",R222="")),AND(U222="Yes",V222="")),"Incomplete","Ready"))</f>
        <v/>
      </c>
      <c r="X222" s="23">
        <f>IF(W222&lt;&gt;"Incomplete","",SUBSTITUTE(IF(B222="",", Street Address","")&amp;IF(C222="",", City","")&amp;IF(E222="",", Postcode","")&amp;IF(F222="",", Licensing Authority","")&amp;IF(I222="",", Status","")&amp;IF(J222="",", Firm","")&amp;IF(K222="",", Client","")&amp;IF(M222="",", Date of Instruction","")&amp;IF(N222="",", Instruction Type","")&amp;IF(O222="",", Reinstruction","")&amp;IF(AND(I222="Allocated",Q222=""),", Investigator","")&amp;IF(AND(I222="Allocated",R222=""),", Date Assigned","")&amp;IF(AND(U222="Yes",V222=""),", Licence Check Notes",""),", ","",1))</f>
        <v/>
      </c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2">
        <f>IF(A223="","",IF(OR(A223="",B223="",C223="",E223="",F223="",I223="",J223="",K223="",M223="",N223="",O223="",AND(I223="Allocated",OR(Q223="",R223="")),AND(U223="Yes",V223="")),"Incomplete","Ready"))</f>
        <v/>
      </c>
      <c r="X223" s="23">
        <f>IF(W223&lt;&gt;"Incomplete","",SUBSTITUTE(IF(B223="",", Street Address","")&amp;IF(C223="",", City","")&amp;IF(E223="",", Postcode","")&amp;IF(F223="",", Licensing Authority","")&amp;IF(I223="",", Status","")&amp;IF(J223="",", Firm","")&amp;IF(K223="",", Client","")&amp;IF(M223="",", Date of Instruction","")&amp;IF(N223="",", Instruction Type","")&amp;IF(O223="",", Reinstruction","")&amp;IF(AND(I223="Allocated",Q223=""),", Investigator","")&amp;IF(AND(I223="Allocated",R223=""),", Date Assigned","")&amp;IF(AND(U223="Yes",V223=""),", Licence Check Notes",""),", ","",1))</f>
        <v/>
      </c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2">
        <f>IF(A224="","",IF(OR(A224="",B224="",C224="",E224="",F224="",I224="",J224="",K224="",M224="",N224="",O224="",AND(I224="Allocated",OR(Q224="",R224="")),AND(U224="Yes",V224="")),"Incomplete","Ready"))</f>
        <v/>
      </c>
      <c r="X224" s="23">
        <f>IF(W224&lt;&gt;"Incomplete","",SUBSTITUTE(IF(B224="",", Street Address","")&amp;IF(C224="",", City","")&amp;IF(E224="",", Postcode","")&amp;IF(F224="",", Licensing Authority","")&amp;IF(I224="",", Status","")&amp;IF(J224="",", Firm","")&amp;IF(K224="",", Client","")&amp;IF(M224="",", Date of Instruction","")&amp;IF(N224="",", Instruction Type","")&amp;IF(O224="",", Reinstruction","")&amp;IF(AND(I224="Allocated",Q224=""),", Investigator","")&amp;IF(AND(I224="Allocated",R224=""),", Date Assigned","")&amp;IF(AND(U224="Yes",V224=""),", Licence Check Notes",""),", ","",1))</f>
        <v/>
      </c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2">
        <f>IF(A225="","",IF(OR(A225="",B225="",C225="",E225="",F225="",I225="",J225="",K225="",M225="",N225="",O225="",AND(I225="Allocated",OR(Q225="",R225="")),AND(U225="Yes",V225="")),"Incomplete","Ready"))</f>
        <v/>
      </c>
      <c r="X225" s="23">
        <f>IF(W225&lt;&gt;"Incomplete","",SUBSTITUTE(IF(B225="",", Street Address","")&amp;IF(C225="",", City","")&amp;IF(E225="",", Postcode","")&amp;IF(F225="",", Licensing Authority","")&amp;IF(I225="",", Status","")&amp;IF(J225="",", Firm","")&amp;IF(K225="",", Client","")&amp;IF(M225="",", Date of Instruction","")&amp;IF(N225="",", Instruction Type","")&amp;IF(O225="",", Reinstruction","")&amp;IF(AND(I225="Allocated",Q225=""),", Investigator","")&amp;IF(AND(I225="Allocated",R225=""),", Date Assigned","")&amp;IF(AND(U225="Yes",V225=""),", Licence Check Notes",""),", ","",1))</f>
        <v/>
      </c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2">
        <f>IF(A226="","",IF(OR(A226="",B226="",C226="",E226="",F226="",I226="",J226="",K226="",M226="",N226="",O226="",AND(I226="Allocated",OR(Q226="",R226="")),AND(U226="Yes",V226="")),"Incomplete","Ready"))</f>
        <v/>
      </c>
      <c r="X226" s="23">
        <f>IF(W226&lt;&gt;"Incomplete","",SUBSTITUTE(IF(B226="",", Street Address","")&amp;IF(C226="",", City","")&amp;IF(E226="",", Postcode","")&amp;IF(F226="",", Licensing Authority","")&amp;IF(I226="",", Status","")&amp;IF(J226="",", Firm","")&amp;IF(K226="",", Client","")&amp;IF(M226="",", Date of Instruction","")&amp;IF(N226="",", Instruction Type","")&amp;IF(O226="",", Reinstruction","")&amp;IF(AND(I226="Allocated",Q226=""),", Investigator","")&amp;IF(AND(I226="Allocated",R226=""),", Date Assigned","")&amp;IF(AND(U226="Yes",V226=""),", Licence Check Notes",""),", ","",1))</f>
        <v/>
      </c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2">
        <f>IF(A227="","",IF(OR(A227="",B227="",C227="",E227="",F227="",I227="",J227="",K227="",M227="",N227="",O227="",AND(I227="Allocated",OR(Q227="",R227="")),AND(U227="Yes",V227="")),"Incomplete","Ready"))</f>
        <v/>
      </c>
      <c r="X227" s="23">
        <f>IF(W227&lt;&gt;"Incomplete","",SUBSTITUTE(IF(B227="",", Street Address","")&amp;IF(C227="",", City","")&amp;IF(E227="",", Postcode","")&amp;IF(F227="",", Licensing Authority","")&amp;IF(I227="",", Status","")&amp;IF(J227="",", Firm","")&amp;IF(K227="",", Client","")&amp;IF(M227="",", Date of Instruction","")&amp;IF(N227="",", Instruction Type","")&amp;IF(O227="",", Reinstruction","")&amp;IF(AND(I227="Allocated",Q227=""),", Investigator","")&amp;IF(AND(I227="Allocated",R227=""),", Date Assigned","")&amp;IF(AND(U227="Yes",V227=""),", Licence Check Notes",""),", ","",1))</f>
        <v/>
      </c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2">
        <f>IF(A228="","",IF(OR(A228="",B228="",C228="",E228="",F228="",I228="",J228="",K228="",M228="",N228="",O228="",AND(I228="Allocated",OR(Q228="",R228="")),AND(U228="Yes",V228="")),"Incomplete","Ready"))</f>
        <v/>
      </c>
      <c r="X228" s="23">
        <f>IF(W228&lt;&gt;"Incomplete","",SUBSTITUTE(IF(B228="",", Street Address","")&amp;IF(C228="",", City","")&amp;IF(E228="",", Postcode","")&amp;IF(F228="",", Licensing Authority","")&amp;IF(I228="",", Status","")&amp;IF(J228="",", Firm","")&amp;IF(K228="",", Client","")&amp;IF(M228="",", Date of Instruction","")&amp;IF(N228="",", Instruction Type","")&amp;IF(O228="",", Reinstruction","")&amp;IF(AND(I228="Allocated",Q228=""),", Investigator","")&amp;IF(AND(I228="Allocated",R228=""),", Date Assigned","")&amp;IF(AND(U228="Yes",V228=""),", Licence Check Notes",""),", ","",1))</f>
        <v/>
      </c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2">
        <f>IF(A229="","",IF(OR(A229="",B229="",C229="",E229="",F229="",I229="",J229="",K229="",M229="",N229="",O229="",AND(I229="Allocated",OR(Q229="",R229="")),AND(U229="Yes",V229="")),"Incomplete","Ready"))</f>
        <v/>
      </c>
      <c r="X229" s="23">
        <f>IF(W229&lt;&gt;"Incomplete","",SUBSTITUTE(IF(B229="",", Street Address","")&amp;IF(C229="",", City","")&amp;IF(E229="",", Postcode","")&amp;IF(F229="",", Licensing Authority","")&amp;IF(I229="",", Status","")&amp;IF(J229="",", Firm","")&amp;IF(K229="",", Client","")&amp;IF(M229="",", Date of Instruction","")&amp;IF(N229="",", Instruction Type","")&amp;IF(O229="",", Reinstruction","")&amp;IF(AND(I229="Allocated",Q229=""),", Investigator","")&amp;IF(AND(I229="Allocated",R229=""),", Date Assigned","")&amp;IF(AND(U229="Yes",V229=""),", Licence Check Notes",""),", ","",1))</f>
        <v/>
      </c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2">
        <f>IF(A230="","",IF(OR(A230="",B230="",C230="",E230="",F230="",I230="",J230="",K230="",M230="",N230="",O230="",AND(I230="Allocated",OR(Q230="",R230="")),AND(U230="Yes",V230="")),"Incomplete","Ready"))</f>
        <v/>
      </c>
      <c r="X230" s="23">
        <f>IF(W230&lt;&gt;"Incomplete","",SUBSTITUTE(IF(B230="",", Street Address","")&amp;IF(C230="",", City","")&amp;IF(E230="",", Postcode","")&amp;IF(F230="",", Licensing Authority","")&amp;IF(I230="",", Status","")&amp;IF(J230="",", Firm","")&amp;IF(K230="",", Client","")&amp;IF(M230="",", Date of Instruction","")&amp;IF(N230="",", Instruction Type","")&amp;IF(O230="",", Reinstruction","")&amp;IF(AND(I230="Allocated",Q230=""),", Investigator","")&amp;IF(AND(I230="Allocated",R230=""),", Date Assigned","")&amp;IF(AND(U230="Yes",V230=""),", Licence Check Notes",""),", ","",1))</f>
        <v/>
      </c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2">
        <f>IF(A231="","",IF(OR(A231="",B231="",C231="",E231="",F231="",I231="",J231="",K231="",M231="",N231="",O231="",AND(I231="Allocated",OR(Q231="",R231="")),AND(U231="Yes",V231="")),"Incomplete","Ready"))</f>
        <v/>
      </c>
      <c r="X231" s="23">
        <f>IF(W231&lt;&gt;"Incomplete","",SUBSTITUTE(IF(B231="",", Street Address","")&amp;IF(C231="",", City","")&amp;IF(E231="",", Postcode","")&amp;IF(F231="",", Licensing Authority","")&amp;IF(I231="",", Status","")&amp;IF(J231="",", Firm","")&amp;IF(K231="",", Client","")&amp;IF(M231="",", Date of Instruction","")&amp;IF(N231="",", Instruction Type","")&amp;IF(O231="",", Reinstruction","")&amp;IF(AND(I231="Allocated",Q231=""),", Investigator","")&amp;IF(AND(I231="Allocated",R231=""),", Date Assigned","")&amp;IF(AND(U231="Yes",V231=""),", Licence Check Notes",""),", ","",1))</f>
        <v/>
      </c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2">
        <f>IF(A232="","",IF(OR(A232="",B232="",C232="",E232="",F232="",I232="",J232="",K232="",M232="",N232="",O232="",AND(I232="Allocated",OR(Q232="",R232="")),AND(U232="Yes",V232="")),"Incomplete","Ready"))</f>
        <v/>
      </c>
      <c r="X232" s="23">
        <f>IF(W232&lt;&gt;"Incomplete","",SUBSTITUTE(IF(B232="",", Street Address","")&amp;IF(C232="",", City","")&amp;IF(E232="",", Postcode","")&amp;IF(F232="",", Licensing Authority","")&amp;IF(I232="",", Status","")&amp;IF(J232="",", Firm","")&amp;IF(K232="",", Client","")&amp;IF(M232="",", Date of Instruction","")&amp;IF(N232="",", Instruction Type","")&amp;IF(O232="",", Reinstruction","")&amp;IF(AND(I232="Allocated",Q232=""),", Investigator","")&amp;IF(AND(I232="Allocated",R232=""),", Date Assigned","")&amp;IF(AND(U232="Yes",V232=""),", Licence Check Notes",""),", ","",1))</f>
        <v/>
      </c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2">
        <f>IF(A233="","",IF(OR(A233="",B233="",C233="",E233="",F233="",I233="",J233="",K233="",M233="",N233="",O233="",AND(I233="Allocated",OR(Q233="",R233="")),AND(U233="Yes",V233="")),"Incomplete","Ready"))</f>
        <v/>
      </c>
      <c r="X233" s="23">
        <f>IF(W233&lt;&gt;"Incomplete","",SUBSTITUTE(IF(B233="",", Street Address","")&amp;IF(C233="",", City","")&amp;IF(E233="",", Postcode","")&amp;IF(F233="",", Licensing Authority","")&amp;IF(I233="",", Status","")&amp;IF(J233="",", Firm","")&amp;IF(K233="",", Client","")&amp;IF(M233="",", Date of Instruction","")&amp;IF(N233="",", Instruction Type","")&amp;IF(O233="",", Reinstruction","")&amp;IF(AND(I233="Allocated",Q233=""),", Investigator","")&amp;IF(AND(I233="Allocated",R233=""),", Date Assigned","")&amp;IF(AND(U233="Yes",V233=""),", Licence Check Notes",""),", ","",1))</f>
        <v/>
      </c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2">
        <f>IF(A234="","",IF(OR(A234="",B234="",C234="",E234="",F234="",I234="",J234="",K234="",M234="",N234="",O234="",AND(I234="Allocated",OR(Q234="",R234="")),AND(U234="Yes",V234="")),"Incomplete","Ready"))</f>
        <v/>
      </c>
      <c r="X234" s="23">
        <f>IF(W234&lt;&gt;"Incomplete","",SUBSTITUTE(IF(B234="",", Street Address","")&amp;IF(C234="",", City","")&amp;IF(E234="",", Postcode","")&amp;IF(F234="",", Licensing Authority","")&amp;IF(I234="",", Status","")&amp;IF(J234="",", Firm","")&amp;IF(K234="",", Client","")&amp;IF(M234="",", Date of Instruction","")&amp;IF(N234="",", Instruction Type","")&amp;IF(O234="",", Reinstruction","")&amp;IF(AND(I234="Allocated",Q234=""),", Investigator","")&amp;IF(AND(I234="Allocated",R234=""),", Date Assigned","")&amp;IF(AND(U234="Yes",V234=""),", Licence Check Notes",""),", ","",1))</f>
        <v/>
      </c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2">
        <f>IF(A235="","",IF(OR(A235="",B235="",C235="",E235="",F235="",I235="",J235="",K235="",M235="",N235="",O235="",AND(I235="Allocated",OR(Q235="",R235="")),AND(U235="Yes",V235="")),"Incomplete","Ready"))</f>
        <v/>
      </c>
      <c r="X235" s="23">
        <f>IF(W235&lt;&gt;"Incomplete","",SUBSTITUTE(IF(B235="",", Street Address","")&amp;IF(C235="",", City","")&amp;IF(E235="",", Postcode","")&amp;IF(F235="",", Licensing Authority","")&amp;IF(I235="",", Status","")&amp;IF(J235="",", Firm","")&amp;IF(K235="",", Client","")&amp;IF(M235="",", Date of Instruction","")&amp;IF(N235="",", Instruction Type","")&amp;IF(O235="",", Reinstruction","")&amp;IF(AND(I235="Allocated",Q235=""),", Investigator","")&amp;IF(AND(I235="Allocated",R235=""),", Date Assigned","")&amp;IF(AND(U235="Yes",V235=""),", Licence Check Notes",""),", ","",1))</f>
        <v/>
      </c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2">
        <f>IF(A236="","",IF(OR(A236="",B236="",C236="",E236="",F236="",I236="",J236="",K236="",M236="",N236="",O236="",AND(I236="Allocated",OR(Q236="",R236="")),AND(U236="Yes",V236="")),"Incomplete","Ready"))</f>
        <v/>
      </c>
      <c r="X236" s="23">
        <f>IF(W236&lt;&gt;"Incomplete","",SUBSTITUTE(IF(B236="",", Street Address","")&amp;IF(C236="",", City","")&amp;IF(E236="",", Postcode","")&amp;IF(F236="",", Licensing Authority","")&amp;IF(I236="",", Status","")&amp;IF(J236="",", Firm","")&amp;IF(K236="",", Client","")&amp;IF(M236="",", Date of Instruction","")&amp;IF(N236="",", Instruction Type","")&amp;IF(O236="",", Reinstruction","")&amp;IF(AND(I236="Allocated",Q236=""),", Investigator","")&amp;IF(AND(I236="Allocated",R236=""),", Date Assigned","")&amp;IF(AND(U236="Yes",V236=""),", Licence Check Notes",""),", ","",1))</f>
        <v/>
      </c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2">
        <f>IF(A237="","",IF(OR(A237="",B237="",C237="",E237="",F237="",I237="",J237="",K237="",M237="",N237="",O237="",AND(I237="Allocated",OR(Q237="",R237="")),AND(U237="Yes",V237="")),"Incomplete","Ready"))</f>
        <v/>
      </c>
      <c r="X237" s="23">
        <f>IF(W237&lt;&gt;"Incomplete","",SUBSTITUTE(IF(B237="",", Street Address","")&amp;IF(C237="",", City","")&amp;IF(E237="",", Postcode","")&amp;IF(F237="",", Licensing Authority","")&amp;IF(I237="",", Status","")&amp;IF(J237="",", Firm","")&amp;IF(K237="",", Client","")&amp;IF(M237="",", Date of Instruction","")&amp;IF(N237="",", Instruction Type","")&amp;IF(O237="",", Reinstruction","")&amp;IF(AND(I237="Allocated",Q237=""),", Investigator","")&amp;IF(AND(I237="Allocated",R237=""),", Date Assigned","")&amp;IF(AND(U237="Yes",V237=""),", Licence Check Notes",""),", ","",1))</f>
        <v/>
      </c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2">
        <f>IF(A238="","",IF(OR(A238="",B238="",C238="",E238="",F238="",I238="",J238="",K238="",M238="",N238="",O238="",AND(I238="Allocated",OR(Q238="",R238="")),AND(U238="Yes",V238="")),"Incomplete","Ready"))</f>
        <v/>
      </c>
      <c r="X238" s="23">
        <f>IF(W238&lt;&gt;"Incomplete","",SUBSTITUTE(IF(B238="",", Street Address","")&amp;IF(C238="",", City","")&amp;IF(E238="",", Postcode","")&amp;IF(F238="",", Licensing Authority","")&amp;IF(I238="",", Status","")&amp;IF(J238="",", Firm","")&amp;IF(K238="",", Client","")&amp;IF(M238="",", Date of Instruction","")&amp;IF(N238="",", Instruction Type","")&amp;IF(O238="",", Reinstruction","")&amp;IF(AND(I238="Allocated",Q238=""),", Investigator","")&amp;IF(AND(I238="Allocated",R238=""),", Date Assigned","")&amp;IF(AND(U238="Yes",V238=""),", Licence Check Notes",""),", ","",1))</f>
        <v/>
      </c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2">
        <f>IF(A239="","",IF(OR(A239="",B239="",C239="",E239="",F239="",I239="",J239="",K239="",M239="",N239="",O239="",AND(I239="Allocated",OR(Q239="",R239="")),AND(U239="Yes",V239="")),"Incomplete","Ready"))</f>
        <v/>
      </c>
      <c r="X239" s="23">
        <f>IF(W239&lt;&gt;"Incomplete","",SUBSTITUTE(IF(B239="",", Street Address","")&amp;IF(C239="",", City","")&amp;IF(E239="",", Postcode","")&amp;IF(F239="",", Licensing Authority","")&amp;IF(I239="",", Status","")&amp;IF(J239="",", Firm","")&amp;IF(K239="",", Client","")&amp;IF(M239="",", Date of Instruction","")&amp;IF(N239="",", Instruction Type","")&amp;IF(O239="",", Reinstruction","")&amp;IF(AND(I239="Allocated",Q239=""),", Investigator","")&amp;IF(AND(I239="Allocated",R239=""),", Date Assigned","")&amp;IF(AND(U239="Yes",V239=""),", Licence Check Notes",""),", ","",1))</f>
        <v/>
      </c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2">
        <f>IF(A240="","",IF(OR(A240="",B240="",C240="",E240="",F240="",I240="",J240="",K240="",M240="",N240="",O240="",AND(I240="Allocated",OR(Q240="",R240="")),AND(U240="Yes",V240="")),"Incomplete","Ready"))</f>
        <v/>
      </c>
      <c r="X240" s="23">
        <f>IF(W240&lt;&gt;"Incomplete","",SUBSTITUTE(IF(B240="",", Street Address","")&amp;IF(C240="",", City","")&amp;IF(E240="",", Postcode","")&amp;IF(F240="",", Licensing Authority","")&amp;IF(I240="",", Status","")&amp;IF(J240="",", Firm","")&amp;IF(K240="",", Client","")&amp;IF(M240="",", Date of Instruction","")&amp;IF(N240="",", Instruction Type","")&amp;IF(O240="",", Reinstruction","")&amp;IF(AND(I240="Allocated",Q240=""),", Investigator","")&amp;IF(AND(I240="Allocated",R240=""),", Date Assigned","")&amp;IF(AND(U240="Yes",V240=""),", Licence Check Notes",""),", ","",1))</f>
        <v/>
      </c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2">
        <f>IF(A241="","",IF(OR(A241="",B241="",C241="",E241="",F241="",I241="",J241="",K241="",M241="",N241="",O241="",AND(I241="Allocated",OR(Q241="",R241="")),AND(U241="Yes",V241="")),"Incomplete","Ready"))</f>
        <v/>
      </c>
      <c r="X241" s="23">
        <f>IF(W241&lt;&gt;"Incomplete","",SUBSTITUTE(IF(B241="",", Street Address","")&amp;IF(C241="",", City","")&amp;IF(E241="",", Postcode","")&amp;IF(F241="",", Licensing Authority","")&amp;IF(I241="",", Status","")&amp;IF(J241="",", Firm","")&amp;IF(K241="",", Client","")&amp;IF(M241="",", Date of Instruction","")&amp;IF(N241="",", Instruction Type","")&amp;IF(O241="",", Reinstruction","")&amp;IF(AND(I241="Allocated",Q241=""),", Investigator","")&amp;IF(AND(I241="Allocated",R241=""),", Date Assigned","")&amp;IF(AND(U241="Yes",V241=""),", Licence Check Notes",""),", ","",1))</f>
        <v/>
      </c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2">
        <f>IF(A242="","",IF(OR(A242="",B242="",C242="",E242="",F242="",I242="",J242="",K242="",M242="",N242="",O242="",AND(I242="Allocated",OR(Q242="",R242="")),AND(U242="Yes",V242="")),"Incomplete","Ready"))</f>
        <v/>
      </c>
      <c r="X242" s="23">
        <f>IF(W242&lt;&gt;"Incomplete","",SUBSTITUTE(IF(B242="",", Street Address","")&amp;IF(C242="",", City","")&amp;IF(E242="",", Postcode","")&amp;IF(F242="",", Licensing Authority","")&amp;IF(I242="",", Status","")&amp;IF(J242="",", Firm","")&amp;IF(K242="",", Client","")&amp;IF(M242="",", Date of Instruction","")&amp;IF(N242="",", Instruction Type","")&amp;IF(O242="",", Reinstruction","")&amp;IF(AND(I242="Allocated",Q242=""),", Investigator","")&amp;IF(AND(I242="Allocated",R242=""),", Date Assigned","")&amp;IF(AND(U242="Yes",V242=""),", Licence Check Notes",""),", ","",1))</f>
        <v/>
      </c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2">
        <f>IF(A243="","",IF(OR(A243="",B243="",C243="",E243="",F243="",I243="",J243="",K243="",M243="",N243="",O243="",AND(I243="Allocated",OR(Q243="",R243="")),AND(U243="Yes",V243="")),"Incomplete","Ready"))</f>
        <v/>
      </c>
      <c r="X243" s="23">
        <f>IF(W243&lt;&gt;"Incomplete","",SUBSTITUTE(IF(B243="",", Street Address","")&amp;IF(C243="",", City","")&amp;IF(E243="",", Postcode","")&amp;IF(F243="",", Licensing Authority","")&amp;IF(I243="",", Status","")&amp;IF(J243="",", Firm","")&amp;IF(K243="",", Client","")&amp;IF(M243="",", Date of Instruction","")&amp;IF(N243="",", Instruction Type","")&amp;IF(O243="",", Reinstruction","")&amp;IF(AND(I243="Allocated",Q243=""),", Investigator","")&amp;IF(AND(I243="Allocated",R243=""),", Date Assigned","")&amp;IF(AND(U243="Yes",V243=""),", Licence Check Notes",""),", ","",1))</f>
        <v/>
      </c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2">
        <f>IF(A244="","",IF(OR(A244="",B244="",C244="",E244="",F244="",I244="",J244="",K244="",M244="",N244="",O244="",AND(I244="Allocated",OR(Q244="",R244="")),AND(U244="Yes",V244="")),"Incomplete","Ready"))</f>
        <v/>
      </c>
      <c r="X244" s="23">
        <f>IF(W244&lt;&gt;"Incomplete","",SUBSTITUTE(IF(B244="",", Street Address","")&amp;IF(C244="",", City","")&amp;IF(E244="",", Postcode","")&amp;IF(F244="",", Licensing Authority","")&amp;IF(I244="",", Status","")&amp;IF(J244="",", Firm","")&amp;IF(K244="",", Client","")&amp;IF(M244="",", Date of Instruction","")&amp;IF(N244="",", Instruction Type","")&amp;IF(O244="",", Reinstruction","")&amp;IF(AND(I244="Allocated",Q244=""),", Investigator","")&amp;IF(AND(I244="Allocated",R244=""),", Date Assigned","")&amp;IF(AND(U244="Yes",V244=""),", Licence Check Notes",""),", ","",1))</f>
        <v/>
      </c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2">
        <f>IF(A245="","",IF(OR(A245="",B245="",C245="",E245="",F245="",I245="",J245="",K245="",M245="",N245="",O245="",AND(I245="Allocated",OR(Q245="",R245="")),AND(U245="Yes",V245="")),"Incomplete","Ready"))</f>
        <v/>
      </c>
      <c r="X245" s="23">
        <f>IF(W245&lt;&gt;"Incomplete","",SUBSTITUTE(IF(B245="",", Street Address","")&amp;IF(C245="",", City","")&amp;IF(E245="",", Postcode","")&amp;IF(F245="",", Licensing Authority","")&amp;IF(I245="",", Status","")&amp;IF(J245="",", Firm","")&amp;IF(K245="",", Client","")&amp;IF(M245="",", Date of Instruction","")&amp;IF(N245="",", Instruction Type","")&amp;IF(O245="",", Reinstruction","")&amp;IF(AND(I245="Allocated",Q245=""),", Investigator","")&amp;IF(AND(I245="Allocated",R245=""),", Date Assigned","")&amp;IF(AND(U245="Yes",V245=""),", Licence Check Notes",""),", ","",1))</f>
        <v/>
      </c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2">
        <f>IF(A246="","",IF(OR(A246="",B246="",C246="",E246="",F246="",I246="",J246="",K246="",M246="",N246="",O246="",AND(I246="Allocated",OR(Q246="",R246="")),AND(U246="Yes",V246="")),"Incomplete","Ready"))</f>
        <v/>
      </c>
      <c r="X246" s="23">
        <f>IF(W246&lt;&gt;"Incomplete","",SUBSTITUTE(IF(B246="",", Street Address","")&amp;IF(C246="",", City","")&amp;IF(E246="",", Postcode","")&amp;IF(F246="",", Licensing Authority","")&amp;IF(I246="",", Status","")&amp;IF(J246="",", Firm","")&amp;IF(K246="",", Client","")&amp;IF(M246="",", Date of Instruction","")&amp;IF(N246="",", Instruction Type","")&amp;IF(O246="",", Reinstruction","")&amp;IF(AND(I246="Allocated",Q246=""),", Investigator","")&amp;IF(AND(I246="Allocated",R246=""),", Date Assigned","")&amp;IF(AND(U246="Yes",V246=""),", Licence Check Notes",""),", ","",1))</f>
        <v/>
      </c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2">
        <f>IF(A247="","",IF(OR(A247="",B247="",C247="",E247="",F247="",I247="",J247="",K247="",M247="",N247="",O247="",AND(I247="Allocated",OR(Q247="",R247="")),AND(U247="Yes",V247="")),"Incomplete","Ready"))</f>
        <v/>
      </c>
      <c r="X247" s="23">
        <f>IF(W247&lt;&gt;"Incomplete","",SUBSTITUTE(IF(B247="",", Street Address","")&amp;IF(C247="",", City","")&amp;IF(E247="",", Postcode","")&amp;IF(F247="",", Licensing Authority","")&amp;IF(I247="",", Status","")&amp;IF(J247="",", Firm","")&amp;IF(K247="",", Client","")&amp;IF(M247="",", Date of Instruction","")&amp;IF(N247="",", Instruction Type","")&amp;IF(O247="",", Reinstruction","")&amp;IF(AND(I247="Allocated",Q247=""),", Investigator","")&amp;IF(AND(I247="Allocated",R247=""),", Date Assigned","")&amp;IF(AND(U247="Yes",V247=""),", Licence Check Notes",""),", ","",1))</f>
        <v/>
      </c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2">
        <f>IF(A248="","",IF(OR(A248="",B248="",C248="",E248="",F248="",I248="",J248="",K248="",M248="",N248="",O248="",AND(I248="Allocated",OR(Q248="",R248="")),AND(U248="Yes",V248="")),"Incomplete","Ready"))</f>
        <v/>
      </c>
      <c r="X248" s="23">
        <f>IF(W248&lt;&gt;"Incomplete","",SUBSTITUTE(IF(B248="",", Street Address","")&amp;IF(C248="",", City","")&amp;IF(E248="",", Postcode","")&amp;IF(F248="",", Licensing Authority","")&amp;IF(I248="",", Status","")&amp;IF(J248="",", Firm","")&amp;IF(K248="",", Client","")&amp;IF(M248="",", Date of Instruction","")&amp;IF(N248="",", Instruction Type","")&amp;IF(O248="",", Reinstruction","")&amp;IF(AND(I248="Allocated",Q248=""),", Investigator","")&amp;IF(AND(I248="Allocated",R248=""),", Date Assigned","")&amp;IF(AND(U248="Yes",V248=""),", Licence Check Notes",""),", ","",1))</f>
        <v/>
      </c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2">
        <f>IF(A249="","",IF(OR(A249="",B249="",C249="",E249="",F249="",I249="",J249="",K249="",M249="",N249="",O249="",AND(I249="Allocated",OR(Q249="",R249="")),AND(U249="Yes",V249="")),"Incomplete","Ready"))</f>
        <v/>
      </c>
      <c r="X249" s="23">
        <f>IF(W249&lt;&gt;"Incomplete","",SUBSTITUTE(IF(B249="",", Street Address","")&amp;IF(C249="",", City","")&amp;IF(E249="",", Postcode","")&amp;IF(F249="",", Licensing Authority","")&amp;IF(I249="",", Status","")&amp;IF(J249="",", Firm","")&amp;IF(K249="",", Client","")&amp;IF(M249="",", Date of Instruction","")&amp;IF(N249="",", Instruction Type","")&amp;IF(O249="",", Reinstruction","")&amp;IF(AND(I249="Allocated",Q249=""),", Investigator","")&amp;IF(AND(I249="Allocated",R249=""),", Date Assigned","")&amp;IF(AND(U249="Yes",V249=""),", Licence Check Notes",""),", ","",1))</f>
        <v/>
      </c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2">
        <f>IF(A250="","",IF(OR(A250="",B250="",C250="",E250="",F250="",I250="",J250="",K250="",M250="",N250="",O250="",AND(I250="Allocated",OR(Q250="",R250="")),AND(U250="Yes",V250="")),"Incomplete","Ready"))</f>
        <v/>
      </c>
      <c r="X250" s="23">
        <f>IF(W250&lt;&gt;"Incomplete","",SUBSTITUTE(IF(B250="",", Street Address","")&amp;IF(C250="",", City","")&amp;IF(E250="",", Postcode","")&amp;IF(F250="",", Licensing Authority","")&amp;IF(I250="",", Status","")&amp;IF(J250="",", Firm","")&amp;IF(K250="",", Client","")&amp;IF(M250="",", Date of Instruction","")&amp;IF(N250="",", Instruction Type","")&amp;IF(O250="",", Reinstruction","")&amp;IF(AND(I250="Allocated",Q250=""),", Investigator","")&amp;IF(AND(I250="Allocated",R250=""),", Date Assigned","")&amp;IF(AND(U250="Yes",V250=""),", Licence Check Notes",""),", ","",1))</f>
        <v/>
      </c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2">
        <f>IF(A251="","",IF(OR(A251="",B251="",C251="",E251="",F251="",I251="",J251="",K251="",M251="",N251="",O251="",AND(I251="Allocated",OR(Q251="",R251="")),AND(U251="Yes",V251="")),"Incomplete","Ready"))</f>
        <v/>
      </c>
      <c r="X251" s="23">
        <f>IF(W251&lt;&gt;"Incomplete","",SUBSTITUTE(IF(B251="",", Street Address","")&amp;IF(C251="",", City","")&amp;IF(E251="",", Postcode","")&amp;IF(F251="",", Licensing Authority","")&amp;IF(I251="",", Status","")&amp;IF(J251="",", Firm","")&amp;IF(K251="",", Client","")&amp;IF(M251="",", Date of Instruction","")&amp;IF(N251="",", Instruction Type","")&amp;IF(O251="",", Reinstruction","")&amp;IF(AND(I251="Allocated",Q251=""),", Investigator","")&amp;IF(AND(I251="Allocated",R251=""),", Date Assigned","")&amp;IF(AND(U251="Yes",V251=""),", Licence Check Notes",""),", ","",1))</f>
        <v/>
      </c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2">
        <f>IF(A252="","",IF(OR(A252="",B252="",C252="",E252="",F252="",I252="",J252="",K252="",M252="",N252="",O252="",AND(I252="Allocated",OR(Q252="",R252="")),AND(U252="Yes",V252="")),"Incomplete","Ready"))</f>
        <v/>
      </c>
      <c r="X252" s="23">
        <f>IF(W252&lt;&gt;"Incomplete","",SUBSTITUTE(IF(B252="",", Street Address","")&amp;IF(C252="",", City","")&amp;IF(E252="",", Postcode","")&amp;IF(F252="",", Licensing Authority","")&amp;IF(I252="",", Status","")&amp;IF(J252="",", Firm","")&amp;IF(K252="",", Client","")&amp;IF(M252="",", Date of Instruction","")&amp;IF(N252="",", Instruction Type","")&amp;IF(O252="",", Reinstruction","")&amp;IF(AND(I252="Allocated",Q252=""),", Investigator","")&amp;IF(AND(I252="Allocated",R252=""),", Date Assigned","")&amp;IF(AND(U252="Yes",V252=""),", Licence Check Notes",""),", ","",1))</f>
        <v/>
      </c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2">
        <f>IF(A253="","",IF(OR(A253="",B253="",C253="",E253="",F253="",I253="",J253="",K253="",M253="",N253="",O253="",AND(I253="Allocated",OR(Q253="",R253="")),AND(U253="Yes",V253="")),"Incomplete","Ready"))</f>
        <v/>
      </c>
      <c r="X253" s="23">
        <f>IF(W253&lt;&gt;"Incomplete","",SUBSTITUTE(IF(B253="",", Street Address","")&amp;IF(C253="",", City","")&amp;IF(E253="",", Postcode","")&amp;IF(F253="",", Licensing Authority","")&amp;IF(I253="",", Status","")&amp;IF(J253="",", Firm","")&amp;IF(K253="",", Client","")&amp;IF(M253="",", Date of Instruction","")&amp;IF(N253="",", Instruction Type","")&amp;IF(O253="",", Reinstruction","")&amp;IF(AND(I253="Allocated",Q253=""),", Investigator","")&amp;IF(AND(I253="Allocated",R253=""),", Date Assigned","")&amp;IF(AND(U253="Yes",V253=""),", Licence Check Notes",""),", ","",1))</f>
        <v/>
      </c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2">
        <f>IF(A254="","",IF(OR(A254="",B254="",C254="",E254="",F254="",I254="",J254="",K254="",M254="",N254="",O254="",AND(I254="Allocated",OR(Q254="",R254="")),AND(U254="Yes",V254="")),"Incomplete","Ready"))</f>
        <v/>
      </c>
      <c r="X254" s="23">
        <f>IF(W254&lt;&gt;"Incomplete","",SUBSTITUTE(IF(B254="",", Street Address","")&amp;IF(C254="",", City","")&amp;IF(E254="",", Postcode","")&amp;IF(F254="",", Licensing Authority","")&amp;IF(I254="",", Status","")&amp;IF(J254="",", Firm","")&amp;IF(K254="",", Client","")&amp;IF(M254="",", Date of Instruction","")&amp;IF(N254="",", Instruction Type","")&amp;IF(O254="",", Reinstruction","")&amp;IF(AND(I254="Allocated",Q254=""),", Investigator","")&amp;IF(AND(I254="Allocated",R254=""),", Date Assigned","")&amp;IF(AND(U254="Yes",V254=""),", Licence Check Notes",""),", ","",1))</f>
        <v/>
      </c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2">
        <f>IF(A255="","",IF(OR(A255="",B255="",C255="",E255="",F255="",I255="",J255="",K255="",M255="",N255="",O255="",AND(I255="Allocated",OR(Q255="",R255="")),AND(U255="Yes",V255="")),"Incomplete","Ready"))</f>
        <v/>
      </c>
      <c r="X255" s="23">
        <f>IF(W255&lt;&gt;"Incomplete","",SUBSTITUTE(IF(B255="",", Street Address","")&amp;IF(C255="",", City","")&amp;IF(E255="",", Postcode","")&amp;IF(F255="",", Licensing Authority","")&amp;IF(I255="",", Status","")&amp;IF(J255="",", Firm","")&amp;IF(K255="",", Client","")&amp;IF(M255="",", Date of Instruction","")&amp;IF(N255="",", Instruction Type","")&amp;IF(O255="",", Reinstruction","")&amp;IF(AND(I255="Allocated",Q255=""),", Investigator","")&amp;IF(AND(I255="Allocated",R255=""),", Date Assigned","")&amp;IF(AND(U255="Yes",V255=""),", Licence Check Notes",""),", ","",1))</f>
        <v/>
      </c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2">
        <f>IF(A256="","",IF(OR(A256="",B256="",C256="",E256="",F256="",I256="",J256="",K256="",M256="",N256="",O256="",AND(I256="Allocated",OR(Q256="",R256="")),AND(U256="Yes",V256="")),"Incomplete","Ready"))</f>
        <v/>
      </c>
      <c r="X256" s="23">
        <f>IF(W256&lt;&gt;"Incomplete","",SUBSTITUTE(IF(B256="",", Street Address","")&amp;IF(C256="",", City","")&amp;IF(E256="",", Postcode","")&amp;IF(F256="",", Licensing Authority","")&amp;IF(I256="",", Status","")&amp;IF(J256="",", Firm","")&amp;IF(K256="",", Client","")&amp;IF(M256="",", Date of Instruction","")&amp;IF(N256="",", Instruction Type","")&amp;IF(O256="",", Reinstruction","")&amp;IF(AND(I256="Allocated",Q256=""),", Investigator","")&amp;IF(AND(I256="Allocated",R256=""),", Date Assigned","")&amp;IF(AND(U256="Yes",V256=""),", Licence Check Notes",""),", ","",1))</f>
        <v/>
      </c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2">
        <f>IF(A257="","",IF(OR(A257="",B257="",C257="",E257="",F257="",I257="",J257="",K257="",M257="",N257="",O257="",AND(I257="Allocated",OR(Q257="",R257="")),AND(U257="Yes",V257="")),"Incomplete","Ready"))</f>
        <v/>
      </c>
      <c r="X257" s="23">
        <f>IF(W257&lt;&gt;"Incomplete","",SUBSTITUTE(IF(B257="",", Street Address","")&amp;IF(C257="",", City","")&amp;IF(E257="",", Postcode","")&amp;IF(F257="",", Licensing Authority","")&amp;IF(I257="",", Status","")&amp;IF(J257="",", Firm","")&amp;IF(K257="",", Client","")&amp;IF(M257="",", Date of Instruction","")&amp;IF(N257="",", Instruction Type","")&amp;IF(O257="",", Reinstruction","")&amp;IF(AND(I257="Allocated",Q257=""),", Investigator","")&amp;IF(AND(I257="Allocated",R257=""),", Date Assigned","")&amp;IF(AND(U257="Yes",V257=""),", Licence Check Notes",""),", ","",1))</f>
        <v/>
      </c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2">
        <f>IF(A258="","",IF(OR(A258="",B258="",C258="",E258="",F258="",I258="",J258="",K258="",M258="",N258="",O258="",AND(I258="Allocated",OR(Q258="",R258="")),AND(U258="Yes",V258="")),"Incomplete","Ready"))</f>
        <v/>
      </c>
      <c r="X258" s="23">
        <f>IF(W258&lt;&gt;"Incomplete","",SUBSTITUTE(IF(B258="",", Street Address","")&amp;IF(C258="",", City","")&amp;IF(E258="",", Postcode","")&amp;IF(F258="",", Licensing Authority","")&amp;IF(I258="",", Status","")&amp;IF(J258="",", Firm","")&amp;IF(K258="",", Client","")&amp;IF(M258="",", Date of Instruction","")&amp;IF(N258="",", Instruction Type","")&amp;IF(O258="",", Reinstruction","")&amp;IF(AND(I258="Allocated",Q258=""),", Investigator","")&amp;IF(AND(I258="Allocated",R258=""),", Date Assigned","")&amp;IF(AND(U258="Yes",V258=""),", Licence Check Notes",""),", ","",1))</f>
        <v/>
      </c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2">
        <f>IF(A259="","",IF(OR(A259="",B259="",C259="",E259="",F259="",I259="",J259="",K259="",M259="",N259="",O259="",AND(I259="Allocated",OR(Q259="",R259="")),AND(U259="Yes",V259="")),"Incomplete","Ready"))</f>
        <v/>
      </c>
      <c r="X259" s="23">
        <f>IF(W259&lt;&gt;"Incomplete","",SUBSTITUTE(IF(B259="",", Street Address","")&amp;IF(C259="",", City","")&amp;IF(E259="",", Postcode","")&amp;IF(F259="",", Licensing Authority","")&amp;IF(I259="",", Status","")&amp;IF(J259="",", Firm","")&amp;IF(K259="",", Client","")&amp;IF(M259="",", Date of Instruction","")&amp;IF(N259="",", Instruction Type","")&amp;IF(O259="",", Reinstruction","")&amp;IF(AND(I259="Allocated",Q259=""),", Investigator","")&amp;IF(AND(I259="Allocated",R259=""),", Date Assigned","")&amp;IF(AND(U259="Yes",V259=""),", Licence Check Notes",""),", ","",1))</f>
        <v/>
      </c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2">
        <f>IF(A260="","",IF(OR(A260="",B260="",C260="",E260="",F260="",I260="",J260="",K260="",M260="",N260="",O260="",AND(I260="Allocated",OR(Q260="",R260="")),AND(U260="Yes",V260="")),"Incomplete","Ready"))</f>
        <v/>
      </c>
      <c r="X260" s="23">
        <f>IF(W260&lt;&gt;"Incomplete","",SUBSTITUTE(IF(B260="",", Street Address","")&amp;IF(C260="",", City","")&amp;IF(E260="",", Postcode","")&amp;IF(F260="",", Licensing Authority","")&amp;IF(I260="",", Status","")&amp;IF(J260="",", Firm","")&amp;IF(K260="",", Client","")&amp;IF(M260="",", Date of Instruction","")&amp;IF(N260="",", Instruction Type","")&amp;IF(O260="",", Reinstruction","")&amp;IF(AND(I260="Allocated",Q260=""),", Investigator","")&amp;IF(AND(I260="Allocated",R260=""),", Date Assigned","")&amp;IF(AND(U260="Yes",V260=""),", Licence Check Notes",""),", ","",1))</f>
        <v/>
      </c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2">
        <f>IF(A261="","",IF(OR(A261="",B261="",C261="",E261="",F261="",I261="",J261="",K261="",M261="",N261="",O261="",AND(I261="Allocated",OR(Q261="",R261="")),AND(U261="Yes",V261="")),"Incomplete","Ready"))</f>
        <v/>
      </c>
      <c r="X261" s="23">
        <f>IF(W261&lt;&gt;"Incomplete","",SUBSTITUTE(IF(B261="",", Street Address","")&amp;IF(C261="",", City","")&amp;IF(E261="",", Postcode","")&amp;IF(F261="",", Licensing Authority","")&amp;IF(I261="",", Status","")&amp;IF(J261="",", Firm","")&amp;IF(K261="",", Client","")&amp;IF(M261="",", Date of Instruction","")&amp;IF(N261="",", Instruction Type","")&amp;IF(O261="",", Reinstruction","")&amp;IF(AND(I261="Allocated",Q261=""),", Investigator","")&amp;IF(AND(I261="Allocated",R261=""),", Date Assigned","")&amp;IF(AND(U261="Yes",V261=""),", Licence Check Notes",""),", ","",1))</f>
        <v/>
      </c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2">
        <f>IF(A262="","",IF(OR(A262="",B262="",C262="",E262="",F262="",I262="",J262="",K262="",M262="",N262="",O262="",AND(I262="Allocated",OR(Q262="",R262="")),AND(U262="Yes",V262="")),"Incomplete","Ready"))</f>
        <v/>
      </c>
      <c r="X262" s="23">
        <f>IF(W262&lt;&gt;"Incomplete","",SUBSTITUTE(IF(B262="",", Street Address","")&amp;IF(C262="",", City","")&amp;IF(E262="",", Postcode","")&amp;IF(F262="",", Licensing Authority","")&amp;IF(I262="",", Status","")&amp;IF(J262="",", Firm","")&amp;IF(K262="",", Client","")&amp;IF(M262="",", Date of Instruction","")&amp;IF(N262="",", Instruction Type","")&amp;IF(O262="",", Reinstruction","")&amp;IF(AND(I262="Allocated",Q262=""),", Investigator","")&amp;IF(AND(I262="Allocated",R262=""),", Date Assigned","")&amp;IF(AND(U262="Yes",V262=""),", Licence Check Notes",""),", ","",1))</f>
        <v/>
      </c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2">
        <f>IF(A263="","",IF(OR(A263="",B263="",C263="",E263="",F263="",I263="",J263="",K263="",M263="",N263="",O263="",AND(I263="Allocated",OR(Q263="",R263="")),AND(U263="Yes",V263="")),"Incomplete","Ready"))</f>
        <v/>
      </c>
      <c r="X263" s="23">
        <f>IF(W263&lt;&gt;"Incomplete","",SUBSTITUTE(IF(B263="",", Street Address","")&amp;IF(C263="",", City","")&amp;IF(E263="",", Postcode","")&amp;IF(F263="",", Licensing Authority","")&amp;IF(I263="",", Status","")&amp;IF(J263="",", Firm","")&amp;IF(K263="",", Client","")&amp;IF(M263="",", Date of Instruction","")&amp;IF(N263="",", Instruction Type","")&amp;IF(O263="",", Reinstruction","")&amp;IF(AND(I263="Allocated",Q263=""),", Investigator","")&amp;IF(AND(I263="Allocated",R263=""),", Date Assigned","")&amp;IF(AND(U263="Yes",V263=""),", Licence Check Notes",""),", ","",1))</f>
        <v/>
      </c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2">
        <f>IF(A264="","",IF(OR(A264="",B264="",C264="",E264="",F264="",I264="",J264="",K264="",M264="",N264="",O264="",AND(I264="Allocated",OR(Q264="",R264="")),AND(U264="Yes",V264="")),"Incomplete","Ready"))</f>
        <v/>
      </c>
      <c r="X264" s="23">
        <f>IF(W264&lt;&gt;"Incomplete","",SUBSTITUTE(IF(B264="",", Street Address","")&amp;IF(C264="",", City","")&amp;IF(E264="",", Postcode","")&amp;IF(F264="",", Licensing Authority","")&amp;IF(I264="",", Status","")&amp;IF(J264="",", Firm","")&amp;IF(K264="",", Client","")&amp;IF(M264="",", Date of Instruction","")&amp;IF(N264="",", Instruction Type","")&amp;IF(O264="",", Reinstruction","")&amp;IF(AND(I264="Allocated",Q264=""),", Investigator","")&amp;IF(AND(I264="Allocated",R264=""),", Date Assigned","")&amp;IF(AND(U264="Yes",V264=""),", Licence Check Notes",""),", ","",1))</f>
        <v/>
      </c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2">
        <f>IF(A265="","",IF(OR(A265="",B265="",C265="",E265="",F265="",I265="",J265="",K265="",M265="",N265="",O265="",AND(I265="Allocated",OR(Q265="",R265="")),AND(U265="Yes",V265="")),"Incomplete","Ready"))</f>
        <v/>
      </c>
      <c r="X265" s="23">
        <f>IF(W265&lt;&gt;"Incomplete","",SUBSTITUTE(IF(B265="",", Street Address","")&amp;IF(C265="",", City","")&amp;IF(E265="",", Postcode","")&amp;IF(F265="",", Licensing Authority","")&amp;IF(I265="",", Status","")&amp;IF(J265="",", Firm","")&amp;IF(K265="",", Client","")&amp;IF(M265="",", Date of Instruction","")&amp;IF(N265="",", Instruction Type","")&amp;IF(O265="",", Reinstruction","")&amp;IF(AND(I265="Allocated",Q265=""),", Investigator","")&amp;IF(AND(I265="Allocated",R265=""),", Date Assigned","")&amp;IF(AND(U265="Yes",V265=""),", Licence Check Notes",""),", ","",1))</f>
        <v/>
      </c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2">
        <f>IF(A266="","",IF(OR(A266="",B266="",C266="",E266="",F266="",I266="",J266="",K266="",M266="",N266="",O266="",AND(I266="Allocated",OR(Q266="",R266="")),AND(U266="Yes",V266="")),"Incomplete","Ready"))</f>
        <v/>
      </c>
      <c r="X266" s="23">
        <f>IF(W266&lt;&gt;"Incomplete","",SUBSTITUTE(IF(B266="",", Street Address","")&amp;IF(C266="",", City","")&amp;IF(E266="",", Postcode","")&amp;IF(F266="",", Licensing Authority","")&amp;IF(I266="",", Status","")&amp;IF(J266="",", Firm","")&amp;IF(K266="",", Client","")&amp;IF(M266="",", Date of Instruction","")&amp;IF(N266="",", Instruction Type","")&amp;IF(O266="",", Reinstruction","")&amp;IF(AND(I266="Allocated",Q266=""),", Investigator","")&amp;IF(AND(I266="Allocated",R266=""),", Date Assigned","")&amp;IF(AND(U266="Yes",V266=""),", Licence Check Notes",""),", ","",1))</f>
        <v/>
      </c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2">
        <f>IF(A267="","",IF(OR(A267="",B267="",C267="",E267="",F267="",I267="",J267="",K267="",M267="",N267="",O267="",AND(I267="Allocated",OR(Q267="",R267="")),AND(U267="Yes",V267="")),"Incomplete","Ready"))</f>
        <v/>
      </c>
      <c r="X267" s="23">
        <f>IF(W267&lt;&gt;"Incomplete","",SUBSTITUTE(IF(B267="",", Street Address","")&amp;IF(C267="",", City","")&amp;IF(E267="",", Postcode","")&amp;IF(F267="",", Licensing Authority","")&amp;IF(I267="",", Status","")&amp;IF(J267="",", Firm","")&amp;IF(K267="",", Client","")&amp;IF(M267="",", Date of Instruction","")&amp;IF(N267="",", Instruction Type","")&amp;IF(O267="",", Reinstruction","")&amp;IF(AND(I267="Allocated",Q267=""),", Investigator","")&amp;IF(AND(I267="Allocated",R267=""),", Date Assigned","")&amp;IF(AND(U267="Yes",V267=""),", Licence Check Notes",""),", ","",1))</f>
        <v/>
      </c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2">
        <f>IF(A268="","",IF(OR(A268="",B268="",C268="",E268="",F268="",I268="",J268="",K268="",M268="",N268="",O268="",AND(I268="Allocated",OR(Q268="",R268="")),AND(U268="Yes",V268="")),"Incomplete","Ready"))</f>
        <v/>
      </c>
      <c r="X268" s="23">
        <f>IF(W268&lt;&gt;"Incomplete","",SUBSTITUTE(IF(B268="",", Street Address","")&amp;IF(C268="",", City","")&amp;IF(E268="",", Postcode","")&amp;IF(F268="",", Licensing Authority","")&amp;IF(I268="",", Status","")&amp;IF(J268="",", Firm","")&amp;IF(K268="",", Client","")&amp;IF(M268="",", Date of Instruction","")&amp;IF(N268="",", Instruction Type","")&amp;IF(O268="",", Reinstruction","")&amp;IF(AND(I268="Allocated",Q268=""),", Investigator","")&amp;IF(AND(I268="Allocated",R268=""),", Date Assigned","")&amp;IF(AND(U268="Yes",V268=""),", Licence Check Notes",""),", ","",1))</f>
        <v/>
      </c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2">
        <f>IF(A269="","",IF(OR(A269="",B269="",C269="",E269="",F269="",I269="",J269="",K269="",M269="",N269="",O269="",AND(I269="Allocated",OR(Q269="",R269="")),AND(U269="Yes",V269="")),"Incomplete","Ready"))</f>
        <v/>
      </c>
      <c r="X269" s="23">
        <f>IF(W269&lt;&gt;"Incomplete","",SUBSTITUTE(IF(B269="",", Street Address","")&amp;IF(C269="",", City","")&amp;IF(E269="",", Postcode","")&amp;IF(F269="",", Licensing Authority","")&amp;IF(I269="",", Status","")&amp;IF(J269="",", Firm","")&amp;IF(K269="",", Client","")&amp;IF(M269="",", Date of Instruction","")&amp;IF(N269="",", Instruction Type","")&amp;IF(O269="",", Reinstruction","")&amp;IF(AND(I269="Allocated",Q269=""),", Investigator","")&amp;IF(AND(I269="Allocated",R269=""),", Date Assigned","")&amp;IF(AND(U269="Yes",V269=""),", Licence Check Notes",""),", ","",1))</f>
        <v/>
      </c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2">
        <f>IF(A270="","",IF(OR(A270="",B270="",C270="",E270="",F270="",I270="",J270="",K270="",M270="",N270="",O270="",AND(I270="Allocated",OR(Q270="",R270="")),AND(U270="Yes",V270="")),"Incomplete","Ready"))</f>
        <v/>
      </c>
      <c r="X270" s="23">
        <f>IF(W270&lt;&gt;"Incomplete","",SUBSTITUTE(IF(B270="",", Street Address","")&amp;IF(C270="",", City","")&amp;IF(E270="",", Postcode","")&amp;IF(F270="",", Licensing Authority","")&amp;IF(I270="",", Status","")&amp;IF(J270="",", Firm","")&amp;IF(K270="",", Client","")&amp;IF(M270="",", Date of Instruction","")&amp;IF(N270="",", Instruction Type","")&amp;IF(O270="",", Reinstruction","")&amp;IF(AND(I270="Allocated",Q270=""),", Investigator","")&amp;IF(AND(I270="Allocated",R270=""),", Date Assigned","")&amp;IF(AND(U270="Yes",V270=""),", Licence Check Notes",""),", ","",1))</f>
        <v/>
      </c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2">
        <f>IF(A271="","",IF(OR(A271="",B271="",C271="",E271="",F271="",I271="",J271="",K271="",M271="",N271="",O271="",AND(I271="Allocated",OR(Q271="",R271="")),AND(U271="Yes",V271="")),"Incomplete","Ready"))</f>
        <v/>
      </c>
      <c r="X271" s="23">
        <f>IF(W271&lt;&gt;"Incomplete","",SUBSTITUTE(IF(B271="",", Street Address","")&amp;IF(C271="",", City","")&amp;IF(E271="",", Postcode","")&amp;IF(F271="",", Licensing Authority","")&amp;IF(I271="",", Status","")&amp;IF(J271="",", Firm","")&amp;IF(K271="",", Client","")&amp;IF(M271="",", Date of Instruction","")&amp;IF(N271="",", Instruction Type","")&amp;IF(O271="",", Reinstruction","")&amp;IF(AND(I271="Allocated",Q271=""),", Investigator","")&amp;IF(AND(I271="Allocated",R271=""),", Date Assigned","")&amp;IF(AND(U271="Yes",V271=""),", Licence Check Notes",""),", ","",1))</f>
        <v/>
      </c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2">
        <f>IF(A272="","",IF(OR(A272="",B272="",C272="",E272="",F272="",I272="",J272="",K272="",M272="",N272="",O272="",AND(I272="Allocated",OR(Q272="",R272="")),AND(U272="Yes",V272="")),"Incomplete","Ready"))</f>
        <v/>
      </c>
      <c r="X272" s="23">
        <f>IF(W272&lt;&gt;"Incomplete","",SUBSTITUTE(IF(B272="",", Street Address","")&amp;IF(C272="",", City","")&amp;IF(E272="",", Postcode","")&amp;IF(F272="",", Licensing Authority","")&amp;IF(I272="",", Status","")&amp;IF(J272="",", Firm","")&amp;IF(K272="",", Client","")&amp;IF(M272="",", Date of Instruction","")&amp;IF(N272="",", Instruction Type","")&amp;IF(O272="",", Reinstruction","")&amp;IF(AND(I272="Allocated",Q272=""),", Investigator","")&amp;IF(AND(I272="Allocated",R272=""),", Date Assigned","")&amp;IF(AND(U272="Yes",V272=""),", Licence Check Notes",""),", ","",1))</f>
        <v/>
      </c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2">
        <f>IF(A273="","",IF(OR(A273="",B273="",C273="",E273="",F273="",I273="",J273="",K273="",M273="",N273="",O273="",AND(I273="Allocated",OR(Q273="",R273="")),AND(U273="Yes",V273="")),"Incomplete","Ready"))</f>
        <v/>
      </c>
      <c r="X273" s="23">
        <f>IF(W273&lt;&gt;"Incomplete","",SUBSTITUTE(IF(B273="",", Street Address","")&amp;IF(C273="",", City","")&amp;IF(E273="",", Postcode","")&amp;IF(F273="",", Licensing Authority","")&amp;IF(I273="",", Status","")&amp;IF(J273="",", Firm","")&amp;IF(K273="",", Client","")&amp;IF(M273="",", Date of Instruction","")&amp;IF(N273="",", Instruction Type","")&amp;IF(O273="",", Reinstruction","")&amp;IF(AND(I273="Allocated",Q273=""),", Investigator","")&amp;IF(AND(I273="Allocated",R273=""),", Date Assigned","")&amp;IF(AND(U273="Yes",V273=""),", Licence Check Notes",""),", ","",1))</f>
        <v/>
      </c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2">
        <f>IF(A274="","",IF(OR(A274="",B274="",C274="",E274="",F274="",I274="",J274="",K274="",M274="",N274="",O274="",AND(I274="Allocated",OR(Q274="",R274="")),AND(U274="Yes",V274="")),"Incomplete","Ready"))</f>
        <v/>
      </c>
      <c r="X274" s="23">
        <f>IF(W274&lt;&gt;"Incomplete","",SUBSTITUTE(IF(B274="",", Street Address","")&amp;IF(C274="",", City","")&amp;IF(E274="",", Postcode","")&amp;IF(F274="",", Licensing Authority","")&amp;IF(I274="",", Status","")&amp;IF(J274="",", Firm","")&amp;IF(K274="",", Client","")&amp;IF(M274="",", Date of Instruction","")&amp;IF(N274="",", Instruction Type","")&amp;IF(O274="",", Reinstruction","")&amp;IF(AND(I274="Allocated",Q274=""),", Investigator","")&amp;IF(AND(I274="Allocated",R274=""),", Date Assigned","")&amp;IF(AND(U274="Yes",V274=""),", Licence Check Notes",""),", ","",1))</f>
        <v/>
      </c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2">
        <f>IF(A275="","",IF(OR(A275="",B275="",C275="",E275="",F275="",I275="",J275="",K275="",M275="",N275="",O275="",AND(I275="Allocated",OR(Q275="",R275="")),AND(U275="Yes",V275="")),"Incomplete","Ready"))</f>
        <v/>
      </c>
      <c r="X275" s="23">
        <f>IF(W275&lt;&gt;"Incomplete","",SUBSTITUTE(IF(B275="",", Street Address","")&amp;IF(C275="",", City","")&amp;IF(E275="",", Postcode","")&amp;IF(F275="",", Licensing Authority","")&amp;IF(I275="",", Status","")&amp;IF(J275="",", Firm","")&amp;IF(K275="",", Client","")&amp;IF(M275="",", Date of Instruction","")&amp;IF(N275="",", Instruction Type","")&amp;IF(O275="",", Reinstruction","")&amp;IF(AND(I275="Allocated",Q275=""),", Investigator","")&amp;IF(AND(I275="Allocated",R275=""),", Date Assigned","")&amp;IF(AND(U275="Yes",V275=""),", Licence Check Notes",""),", ","",1))</f>
        <v/>
      </c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2">
        <f>IF(A276="","",IF(OR(A276="",B276="",C276="",E276="",F276="",I276="",J276="",K276="",M276="",N276="",O276="",AND(I276="Allocated",OR(Q276="",R276="")),AND(U276="Yes",V276="")),"Incomplete","Ready"))</f>
        <v/>
      </c>
      <c r="X276" s="23">
        <f>IF(W276&lt;&gt;"Incomplete","",SUBSTITUTE(IF(B276="",", Street Address","")&amp;IF(C276="",", City","")&amp;IF(E276="",", Postcode","")&amp;IF(F276="",", Licensing Authority","")&amp;IF(I276="",", Status","")&amp;IF(J276="",", Firm","")&amp;IF(K276="",", Client","")&amp;IF(M276="",", Date of Instruction","")&amp;IF(N276="",", Instruction Type","")&amp;IF(O276="",", Reinstruction","")&amp;IF(AND(I276="Allocated",Q276=""),", Investigator","")&amp;IF(AND(I276="Allocated",R276=""),", Date Assigned","")&amp;IF(AND(U276="Yes",V276=""),", Licence Check Notes",""),", ","",1))</f>
        <v/>
      </c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2">
        <f>IF(A277="","",IF(OR(A277="",B277="",C277="",E277="",F277="",I277="",J277="",K277="",M277="",N277="",O277="",AND(I277="Allocated",OR(Q277="",R277="")),AND(U277="Yes",V277="")),"Incomplete","Ready"))</f>
        <v/>
      </c>
      <c r="X277" s="23">
        <f>IF(W277&lt;&gt;"Incomplete","",SUBSTITUTE(IF(B277="",", Street Address","")&amp;IF(C277="",", City","")&amp;IF(E277="",", Postcode","")&amp;IF(F277="",", Licensing Authority","")&amp;IF(I277="",", Status","")&amp;IF(J277="",", Firm","")&amp;IF(K277="",", Client","")&amp;IF(M277="",", Date of Instruction","")&amp;IF(N277="",", Instruction Type","")&amp;IF(O277="",", Reinstruction","")&amp;IF(AND(I277="Allocated",Q277=""),", Investigator","")&amp;IF(AND(I277="Allocated",R277=""),", Date Assigned","")&amp;IF(AND(U277="Yes",V277=""),", Licence Check Notes",""),", ","",1))</f>
        <v/>
      </c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2">
        <f>IF(A278="","",IF(OR(A278="",B278="",C278="",E278="",F278="",I278="",J278="",K278="",M278="",N278="",O278="",AND(I278="Allocated",OR(Q278="",R278="")),AND(U278="Yes",V278="")),"Incomplete","Ready"))</f>
        <v/>
      </c>
      <c r="X278" s="23">
        <f>IF(W278&lt;&gt;"Incomplete","",SUBSTITUTE(IF(B278="",", Street Address","")&amp;IF(C278="",", City","")&amp;IF(E278="",", Postcode","")&amp;IF(F278="",", Licensing Authority","")&amp;IF(I278="",", Status","")&amp;IF(J278="",", Firm","")&amp;IF(K278="",", Client","")&amp;IF(M278="",", Date of Instruction","")&amp;IF(N278="",", Instruction Type","")&amp;IF(O278="",", Reinstruction","")&amp;IF(AND(I278="Allocated",Q278=""),", Investigator","")&amp;IF(AND(I278="Allocated",R278=""),", Date Assigned","")&amp;IF(AND(U278="Yes",V278=""),", Licence Check Notes",""),", ","",1))</f>
        <v/>
      </c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2">
        <f>IF(A279="","",IF(OR(A279="",B279="",C279="",E279="",F279="",I279="",J279="",K279="",M279="",N279="",O279="",AND(I279="Allocated",OR(Q279="",R279="")),AND(U279="Yes",V279="")),"Incomplete","Ready"))</f>
        <v/>
      </c>
      <c r="X279" s="23">
        <f>IF(W279&lt;&gt;"Incomplete","",SUBSTITUTE(IF(B279="",", Street Address","")&amp;IF(C279="",", City","")&amp;IF(E279="",", Postcode","")&amp;IF(F279="",", Licensing Authority","")&amp;IF(I279="",", Status","")&amp;IF(J279="",", Firm","")&amp;IF(K279="",", Client","")&amp;IF(M279="",", Date of Instruction","")&amp;IF(N279="",", Instruction Type","")&amp;IF(O279="",", Reinstruction","")&amp;IF(AND(I279="Allocated",Q279=""),", Investigator","")&amp;IF(AND(I279="Allocated",R279=""),", Date Assigned","")&amp;IF(AND(U279="Yes",V279=""),", Licence Check Notes",""),", ","",1))</f>
        <v/>
      </c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2">
        <f>IF(A280="","",IF(OR(A280="",B280="",C280="",E280="",F280="",I280="",J280="",K280="",M280="",N280="",O280="",AND(I280="Allocated",OR(Q280="",R280="")),AND(U280="Yes",V280="")),"Incomplete","Ready"))</f>
        <v/>
      </c>
      <c r="X280" s="23">
        <f>IF(W280&lt;&gt;"Incomplete","",SUBSTITUTE(IF(B280="",", Street Address","")&amp;IF(C280="",", City","")&amp;IF(E280="",", Postcode","")&amp;IF(F280="",", Licensing Authority","")&amp;IF(I280="",", Status","")&amp;IF(J280="",", Firm","")&amp;IF(K280="",", Client","")&amp;IF(M280="",", Date of Instruction","")&amp;IF(N280="",", Instruction Type","")&amp;IF(O280="",", Reinstruction","")&amp;IF(AND(I280="Allocated",Q280=""),", Investigator","")&amp;IF(AND(I280="Allocated",R280=""),", Date Assigned","")&amp;IF(AND(U280="Yes",V280=""),", Licence Check Notes",""),", ","",1))</f>
        <v/>
      </c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2">
        <f>IF(A281="","",IF(OR(A281="",B281="",C281="",E281="",F281="",I281="",J281="",K281="",M281="",N281="",O281="",AND(I281="Allocated",OR(Q281="",R281="")),AND(U281="Yes",V281="")),"Incomplete","Ready"))</f>
        <v/>
      </c>
      <c r="X281" s="23">
        <f>IF(W281&lt;&gt;"Incomplete","",SUBSTITUTE(IF(B281="",", Street Address","")&amp;IF(C281="",", City","")&amp;IF(E281="",", Postcode","")&amp;IF(F281="",", Licensing Authority","")&amp;IF(I281="",", Status","")&amp;IF(J281="",", Firm","")&amp;IF(K281="",", Client","")&amp;IF(M281="",", Date of Instruction","")&amp;IF(N281="",", Instruction Type","")&amp;IF(O281="",", Reinstruction","")&amp;IF(AND(I281="Allocated",Q281=""),", Investigator","")&amp;IF(AND(I281="Allocated",R281=""),", Date Assigned","")&amp;IF(AND(U281="Yes",V281=""),", Licence Check Notes",""),", ","",1))</f>
        <v/>
      </c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2">
        <f>IF(A282="","",IF(OR(A282="",B282="",C282="",E282="",F282="",I282="",J282="",K282="",M282="",N282="",O282="",AND(I282="Allocated",OR(Q282="",R282="")),AND(U282="Yes",V282="")),"Incomplete","Ready"))</f>
        <v/>
      </c>
      <c r="X282" s="23">
        <f>IF(W282&lt;&gt;"Incomplete","",SUBSTITUTE(IF(B282="",", Street Address","")&amp;IF(C282="",", City","")&amp;IF(E282="",", Postcode","")&amp;IF(F282="",", Licensing Authority","")&amp;IF(I282="",", Status","")&amp;IF(J282="",", Firm","")&amp;IF(K282="",", Client","")&amp;IF(M282="",", Date of Instruction","")&amp;IF(N282="",", Instruction Type","")&amp;IF(O282="",", Reinstruction","")&amp;IF(AND(I282="Allocated",Q282=""),", Investigator","")&amp;IF(AND(I282="Allocated",R282=""),", Date Assigned","")&amp;IF(AND(U282="Yes",V282=""),", Licence Check Notes",""),", ","",1))</f>
        <v/>
      </c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2">
        <f>IF(A283="","",IF(OR(A283="",B283="",C283="",E283="",F283="",I283="",J283="",K283="",M283="",N283="",O283="",AND(I283="Allocated",OR(Q283="",R283="")),AND(U283="Yes",V283="")),"Incomplete","Ready"))</f>
        <v/>
      </c>
      <c r="X283" s="23">
        <f>IF(W283&lt;&gt;"Incomplete","",SUBSTITUTE(IF(B283="",", Street Address","")&amp;IF(C283="",", City","")&amp;IF(E283="",", Postcode","")&amp;IF(F283="",", Licensing Authority","")&amp;IF(I283="",", Status","")&amp;IF(J283="",", Firm","")&amp;IF(K283="",", Client","")&amp;IF(M283="",", Date of Instruction","")&amp;IF(N283="",", Instruction Type","")&amp;IF(O283="",", Reinstruction","")&amp;IF(AND(I283="Allocated",Q283=""),", Investigator","")&amp;IF(AND(I283="Allocated",R283=""),", Date Assigned","")&amp;IF(AND(U283="Yes",V283=""),", Licence Check Notes",""),", ","",1))</f>
        <v/>
      </c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2">
        <f>IF(A284="","",IF(OR(A284="",B284="",C284="",E284="",F284="",I284="",J284="",K284="",M284="",N284="",O284="",AND(I284="Allocated",OR(Q284="",R284="")),AND(U284="Yes",V284="")),"Incomplete","Ready"))</f>
        <v/>
      </c>
      <c r="X284" s="23">
        <f>IF(W284&lt;&gt;"Incomplete","",SUBSTITUTE(IF(B284="",", Street Address","")&amp;IF(C284="",", City","")&amp;IF(E284="",", Postcode","")&amp;IF(F284="",", Licensing Authority","")&amp;IF(I284="",", Status","")&amp;IF(J284="",", Firm","")&amp;IF(K284="",", Client","")&amp;IF(M284="",", Date of Instruction","")&amp;IF(N284="",", Instruction Type","")&amp;IF(O284="",", Reinstruction","")&amp;IF(AND(I284="Allocated",Q284=""),", Investigator","")&amp;IF(AND(I284="Allocated",R284=""),", Date Assigned","")&amp;IF(AND(U284="Yes",V284=""),", Licence Check Notes",""),", ","",1))</f>
        <v/>
      </c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2">
        <f>IF(A285="","",IF(OR(A285="",B285="",C285="",E285="",F285="",I285="",J285="",K285="",M285="",N285="",O285="",AND(I285="Allocated",OR(Q285="",R285="")),AND(U285="Yes",V285="")),"Incomplete","Ready"))</f>
        <v/>
      </c>
      <c r="X285" s="23">
        <f>IF(W285&lt;&gt;"Incomplete","",SUBSTITUTE(IF(B285="",", Street Address","")&amp;IF(C285="",", City","")&amp;IF(E285="",", Postcode","")&amp;IF(F285="",", Licensing Authority","")&amp;IF(I285="",", Status","")&amp;IF(J285="",", Firm","")&amp;IF(K285="",", Client","")&amp;IF(M285="",", Date of Instruction","")&amp;IF(N285="",", Instruction Type","")&amp;IF(O285="",", Reinstruction","")&amp;IF(AND(I285="Allocated",Q285=""),", Investigator","")&amp;IF(AND(I285="Allocated",R285=""),", Date Assigned","")&amp;IF(AND(U285="Yes",V285=""),", Licence Check Notes",""),", ","",1))</f>
        <v/>
      </c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2">
        <f>IF(A286="","",IF(OR(A286="",B286="",C286="",E286="",F286="",I286="",J286="",K286="",M286="",N286="",O286="",AND(I286="Allocated",OR(Q286="",R286="")),AND(U286="Yes",V286="")),"Incomplete","Ready"))</f>
        <v/>
      </c>
      <c r="X286" s="23">
        <f>IF(W286&lt;&gt;"Incomplete","",SUBSTITUTE(IF(B286="",", Street Address","")&amp;IF(C286="",", City","")&amp;IF(E286="",", Postcode","")&amp;IF(F286="",", Licensing Authority","")&amp;IF(I286="",", Status","")&amp;IF(J286="",", Firm","")&amp;IF(K286="",", Client","")&amp;IF(M286="",", Date of Instruction","")&amp;IF(N286="",", Instruction Type","")&amp;IF(O286="",", Reinstruction","")&amp;IF(AND(I286="Allocated",Q286=""),", Investigator","")&amp;IF(AND(I286="Allocated",R286=""),", Date Assigned","")&amp;IF(AND(U286="Yes",V286=""),", Licence Check Notes",""),", ","",1))</f>
        <v/>
      </c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2">
        <f>IF(A287="","",IF(OR(A287="",B287="",C287="",E287="",F287="",I287="",J287="",K287="",M287="",N287="",O287="",AND(I287="Allocated",OR(Q287="",R287="")),AND(U287="Yes",V287="")),"Incomplete","Ready"))</f>
        <v/>
      </c>
      <c r="X287" s="23">
        <f>IF(W287&lt;&gt;"Incomplete","",SUBSTITUTE(IF(B287="",", Street Address","")&amp;IF(C287="",", City","")&amp;IF(E287="",", Postcode","")&amp;IF(F287="",", Licensing Authority","")&amp;IF(I287="",", Status","")&amp;IF(J287="",", Firm","")&amp;IF(K287="",", Client","")&amp;IF(M287="",", Date of Instruction","")&amp;IF(N287="",", Instruction Type","")&amp;IF(O287="",", Reinstruction","")&amp;IF(AND(I287="Allocated",Q287=""),", Investigator","")&amp;IF(AND(I287="Allocated",R287=""),", Date Assigned","")&amp;IF(AND(U287="Yes",V287=""),", Licence Check Notes",""),", ","",1))</f>
        <v/>
      </c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2">
        <f>IF(A288="","",IF(OR(A288="",B288="",C288="",E288="",F288="",I288="",J288="",K288="",M288="",N288="",O288="",AND(I288="Allocated",OR(Q288="",R288="")),AND(U288="Yes",V288="")),"Incomplete","Ready"))</f>
        <v/>
      </c>
      <c r="X288" s="23">
        <f>IF(W288&lt;&gt;"Incomplete","",SUBSTITUTE(IF(B288="",", Street Address","")&amp;IF(C288="",", City","")&amp;IF(E288="",", Postcode","")&amp;IF(F288="",", Licensing Authority","")&amp;IF(I288="",", Status","")&amp;IF(J288="",", Firm","")&amp;IF(K288="",", Client","")&amp;IF(M288="",", Date of Instruction","")&amp;IF(N288="",", Instruction Type","")&amp;IF(O288="",", Reinstruction","")&amp;IF(AND(I288="Allocated",Q288=""),", Investigator","")&amp;IF(AND(I288="Allocated",R288=""),", Date Assigned","")&amp;IF(AND(U288="Yes",V288=""),", Licence Check Notes",""),", ","",1))</f>
        <v/>
      </c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2">
        <f>IF(A289="","",IF(OR(A289="",B289="",C289="",E289="",F289="",I289="",J289="",K289="",M289="",N289="",O289="",AND(I289="Allocated",OR(Q289="",R289="")),AND(U289="Yes",V289="")),"Incomplete","Ready"))</f>
        <v/>
      </c>
      <c r="X289" s="23">
        <f>IF(W289&lt;&gt;"Incomplete","",SUBSTITUTE(IF(B289="",", Street Address","")&amp;IF(C289="",", City","")&amp;IF(E289="",", Postcode","")&amp;IF(F289="",", Licensing Authority","")&amp;IF(I289="",", Status","")&amp;IF(J289="",", Firm","")&amp;IF(K289="",", Client","")&amp;IF(M289="",", Date of Instruction","")&amp;IF(N289="",", Instruction Type","")&amp;IF(O289="",", Reinstruction","")&amp;IF(AND(I289="Allocated",Q289=""),", Investigator","")&amp;IF(AND(I289="Allocated",R289=""),", Date Assigned","")&amp;IF(AND(U289="Yes",V289=""),", Licence Check Notes",""),", ","",1))</f>
        <v/>
      </c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2">
        <f>IF(A290="","",IF(OR(A290="",B290="",C290="",E290="",F290="",I290="",J290="",K290="",M290="",N290="",O290="",AND(I290="Allocated",OR(Q290="",R290="")),AND(U290="Yes",V290="")),"Incomplete","Ready"))</f>
        <v/>
      </c>
      <c r="X290" s="23">
        <f>IF(W290&lt;&gt;"Incomplete","",SUBSTITUTE(IF(B290="",", Street Address","")&amp;IF(C290="",", City","")&amp;IF(E290="",", Postcode","")&amp;IF(F290="",", Licensing Authority","")&amp;IF(I290="",", Status","")&amp;IF(J290="",", Firm","")&amp;IF(K290="",", Client","")&amp;IF(M290="",", Date of Instruction","")&amp;IF(N290="",", Instruction Type","")&amp;IF(O290="",", Reinstruction","")&amp;IF(AND(I290="Allocated",Q290=""),", Investigator","")&amp;IF(AND(I290="Allocated",R290=""),", Date Assigned","")&amp;IF(AND(U290="Yes",V290=""),", Licence Check Notes",""),", ","",1))</f>
        <v/>
      </c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2">
        <f>IF(A291="","",IF(OR(A291="",B291="",C291="",E291="",F291="",I291="",J291="",K291="",M291="",N291="",O291="",AND(I291="Allocated",OR(Q291="",R291="")),AND(U291="Yes",V291="")),"Incomplete","Ready"))</f>
        <v/>
      </c>
      <c r="X291" s="23">
        <f>IF(W291&lt;&gt;"Incomplete","",SUBSTITUTE(IF(B291="",", Street Address","")&amp;IF(C291="",", City","")&amp;IF(E291="",", Postcode","")&amp;IF(F291="",", Licensing Authority","")&amp;IF(I291="",", Status","")&amp;IF(J291="",", Firm","")&amp;IF(K291="",", Client","")&amp;IF(M291="",", Date of Instruction","")&amp;IF(N291="",", Instruction Type","")&amp;IF(O291="",", Reinstruction","")&amp;IF(AND(I291="Allocated",Q291=""),", Investigator","")&amp;IF(AND(I291="Allocated",R291=""),", Date Assigned","")&amp;IF(AND(U291="Yes",V291=""),", Licence Check Notes",""),", ","",1))</f>
        <v/>
      </c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2">
        <f>IF(A292="","",IF(OR(A292="",B292="",C292="",E292="",F292="",I292="",J292="",K292="",M292="",N292="",O292="",AND(I292="Allocated",OR(Q292="",R292="")),AND(U292="Yes",V292="")),"Incomplete","Ready"))</f>
        <v/>
      </c>
      <c r="X292" s="23">
        <f>IF(W292&lt;&gt;"Incomplete","",SUBSTITUTE(IF(B292="",", Street Address","")&amp;IF(C292="",", City","")&amp;IF(E292="",", Postcode","")&amp;IF(F292="",", Licensing Authority","")&amp;IF(I292="",", Status","")&amp;IF(J292="",", Firm","")&amp;IF(K292="",", Client","")&amp;IF(M292="",", Date of Instruction","")&amp;IF(N292="",", Instruction Type","")&amp;IF(O292="",", Reinstruction","")&amp;IF(AND(I292="Allocated",Q292=""),", Investigator","")&amp;IF(AND(I292="Allocated",R292=""),", Date Assigned","")&amp;IF(AND(U292="Yes",V292=""),", Licence Check Notes",""),", ","",1))</f>
        <v/>
      </c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2">
        <f>IF(A293="","",IF(OR(A293="",B293="",C293="",E293="",F293="",I293="",J293="",K293="",M293="",N293="",O293="",AND(I293="Allocated",OR(Q293="",R293="")),AND(U293="Yes",V293="")),"Incomplete","Ready"))</f>
        <v/>
      </c>
      <c r="X293" s="23">
        <f>IF(W293&lt;&gt;"Incomplete","",SUBSTITUTE(IF(B293="",", Street Address","")&amp;IF(C293="",", City","")&amp;IF(E293="",", Postcode","")&amp;IF(F293="",", Licensing Authority","")&amp;IF(I293="",", Status","")&amp;IF(J293="",", Firm","")&amp;IF(K293="",", Client","")&amp;IF(M293="",", Date of Instruction","")&amp;IF(N293="",", Instruction Type","")&amp;IF(O293="",", Reinstruction","")&amp;IF(AND(I293="Allocated",Q293=""),", Investigator","")&amp;IF(AND(I293="Allocated",R293=""),", Date Assigned","")&amp;IF(AND(U293="Yes",V293=""),", Licence Check Notes",""),", ","",1))</f>
        <v/>
      </c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2">
        <f>IF(A294="","",IF(OR(A294="",B294="",C294="",E294="",F294="",I294="",J294="",K294="",M294="",N294="",O294="",AND(I294="Allocated",OR(Q294="",R294="")),AND(U294="Yes",V294="")),"Incomplete","Ready"))</f>
        <v/>
      </c>
      <c r="X294" s="23">
        <f>IF(W294&lt;&gt;"Incomplete","",SUBSTITUTE(IF(B294="",", Street Address","")&amp;IF(C294="",", City","")&amp;IF(E294="",", Postcode","")&amp;IF(F294="",", Licensing Authority","")&amp;IF(I294="",", Status","")&amp;IF(J294="",", Firm","")&amp;IF(K294="",", Client","")&amp;IF(M294="",", Date of Instruction","")&amp;IF(N294="",", Instruction Type","")&amp;IF(O294="",", Reinstruction","")&amp;IF(AND(I294="Allocated",Q294=""),", Investigator","")&amp;IF(AND(I294="Allocated",R294=""),", Date Assigned","")&amp;IF(AND(U294="Yes",V294=""),", Licence Check Notes",""),", ","",1))</f>
        <v/>
      </c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2">
        <f>IF(A295="","",IF(OR(A295="",B295="",C295="",E295="",F295="",I295="",J295="",K295="",M295="",N295="",O295="",AND(I295="Allocated",OR(Q295="",R295="")),AND(U295="Yes",V295="")),"Incomplete","Ready"))</f>
        <v/>
      </c>
      <c r="X295" s="23">
        <f>IF(W295&lt;&gt;"Incomplete","",SUBSTITUTE(IF(B295="",", Street Address","")&amp;IF(C295="",", City","")&amp;IF(E295="",", Postcode","")&amp;IF(F295="",", Licensing Authority","")&amp;IF(I295="",", Status","")&amp;IF(J295="",", Firm","")&amp;IF(K295="",", Client","")&amp;IF(M295="",", Date of Instruction","")&amp;IF(N295="",", Instruction Type","")&amp;IF(O295="",", Reinstruction","")&amp;IF(AND(I295="Allocated",Q295=""),", Investigator","")&amp;IF(AND(I295="Allocated",R295=""),", Date Assigned","")&amp;IF(AND(U295="Yes",V295=""),", Licence Check Notes",""),", ","",1))</f>
        <v/>
      </c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2">
        <f>IF(A296="","",IF(OR(A296="",B296="",C296="",E296="",F296="",I296="",J296="",K296="",M296="",N296="",O296="",AND(I296="Allocated",OR(Q296="",R296="")),AND(U296="Yes",V296="")),"Incomplete","Ready"))</f>
        <v/>
      </c>
      <c r="X296" s="23">
        <f>IF(W296&lt;&gt;"Incomplete","",SUBSTITUTE(IF(B296="",", Street Address","")&amp;IF(C296="",", City","")&amp;IF(E296="",", Postcode","")&amp;IF(F296="",", Licensing Authority","")&amp;IF(I296="",", Status","")&amp;IF(J296="",", Firm","")&amp;IF(K296="",", Client","")&amp;IF(M296="",", Date of Instruction","")&amp;IF(N296="",", Instruction Type","")&amp;IF(O296="",", Reinstruction","")&amp;IF(AND(I296="Allocated",Q296=""),", Investigator","")&amp;IF(AND(I296="Allocated",R296=""),", Date Assigned","")&amp;IF(AND(U296="Yes",V296=""),", Licence Check Notes",""),", ","",1))</f>
        <v/>
      </c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2">
        <f>IF(A297="","",IF(OR(A297="",B297="",C297="",E297="",F297="",I297="",J297="",K297="",M297="",N297="",O297="",AND(I297="Allocated",OR(Q297="",R297="")),AND(U297="Yes",V297="")),"Incomplete","Ready"))</f>
        <v/>
      </c>
      <c r="X297" s="23">
        <f>IF(W297&lt;&gt;"Incomplete","",SUBSTITUTE(IF(B297="",", Street Address","")&amp;IF(C297="",", City","")&amp;IF(E297="",", Postcode","")&amp;IF(F297="",", Licensing Authority","")&amp;IF(I297="",", Status","")&amp;IF(J297="",", Firm","")&amp;IF(K297="",", Client","")&amp;IF(M297="",", Date of Instruction","")&amp;IF(N297="",", Instruction Type","")&amp;IF(O297="",", Reinstruction","")&amp;IF(AND(I297="Allocated",Q297=""),", Investigator","")&amp;IF(AND(I297="Allocated",R297=""),", Date Assigned","")&amp;IF(AND(U297="Yes",V297=""),", Licence Check Notes",""),", ","",1))</f>
        <v/>
      </c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2">
        <f>IF(A298="","",IF(OR(A298="",B298="",C298="",E298="",F298="",I298="",J298="",K298="",M298="",N298="",O298="",AND(I298="Allocated",OR(Q298="",R298="")),AND(U298="Yes",V298="")),"Incomplete","Ready"))</f>
        <v/>
      </c>
      <c r="X298" s="23">
        <f>IF(W298&lt;&gt;"Incomplete","",SUBSTITUTE(IF(B298="",", Street Address","")&amp;IF(C298="",", City","")&amp;IF(E298="",", Postcode","")&amp;IF(F298="",", Licensing Authority","")&amp;IF(I298="",", Status","")&amp;IF(J298="",", Firm","")&amp;IF(K298="",", Client","")&amp;IF(M298="",", Date of Instruction","")&amp;IF(N298="",", Instruction Type","")&amp;IF(O298="",", Reinstruction","")&amp;IF(AND(I298="Allocated",Q298=""),", Investigator","")&amp;IF(AND(I298="Allocated",R298=""),", Date Assigned","")&amp;IF(AND(U298="Yes",V298=""),", Licence Check Notes",""),", ","",1))</f>
        <v/>
      </c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2">
        <f>IF(A299="","",IF(OR(A299="",B299="",C299="",E299="",F299="",I299="",J299="",K299="",M299="",N299="",O299="",AND(I299="Allocated",OR(Q299="",R299="")),AND(U299="Yes",V299="")),"Incomplete","Ready"))</f>
        <v/>
      </c>
      <c r="X299" s="23">
        <f>IF(W299&lt;&gt;"Incomplete","",SUBSTITUTE(IF(B299="",", Street Address","")&amp;IF(C299="",", City","")&amp;IF(E299="",", Postcode","")&amp;IF(F299="",", Licensing Authority","")&amp;IF(I299="",", Status","")&amp;IF(J299="",", Firm","")&amp;IF(K299="",", Client","")&amp;IF(M299="",", Date of Instruction","")&amp;IF(N299="",", Instruction Type","")&amp;IF(O299="",", Reinstruction","")&amp;IF(AND(I299="Allocated",Q299=""),", Investigator","")&amp;IF(AND(I299="Allocated",R299=""),", Date Assigned","")&amp;IF(AND(U299="Yes",V299=""),", Licence Check Notes",""),", ","",1))</f>
        <v/>
      </c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2">
        <f>IF(A300="","",IF(OR(A300="",B300="",C300="",E300="",F300="",I300="",J300="",K300="",M300="",N300="",O300="",AND(I300="Allocated",OR(Q300="",R300="")),AND(U300="Yes",V300="")),"Incomplete","Ready"))</f>
        <v/>
      </c>
      <c r="X300" s="23">
        <f>IF(W300&lt;&gt;"Incomplete","",SUBSTITUTE(IF(B300="",", Street Address","")&amp;IF(C300="",", City","")&amp;IF(E300="",", Postcode","")&amp;IF(F300="",", Licensing Authority","")&amp;IF(I300="",", Status","")&amp;IF(J300="",", Firm","")&amp;IF(K300="",", Client","")&amp;IF(M300="",", Date of Instruction","")&amp;IF(N300="",", Instruction Type","")&amp;IF(O300="",", Reinstruction","")&amp;IF(AND(I300="Allocated",Q300=""),", Investigator","")&amp;IF(AND(I300="Allocated",R300=""),", Date Assigned","")&amp;IF(AND(U300="Yes",V300=""),", Licence Check Notes",""),", ","",1))</f>
        <v/>
      </c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2">
        <f>IF(A301="","",IF(OR(A301="",B301="",C301="",E301="",F301="",I301="",J301="",K301="",M301="",N301="",O301="",AND(I301="Allocated",OR(Q301="",R301="")),AND(U301="Yes",V301="")),"Incomplete","Ready"))</f>
        <v/>
      </c>
      <c r="X301" s="23">
        <f>IF(W301&lt;&gt;"Incomplete","",SUBSTITUTE(IF(B301="",", Street Address","")&amp;IF(C301="",", City","")&amp;IF(E301="",", Postcode","")&amp;IF(F301="",", Licensing Authority","")&amp;IF(I301="",", Status","")&amp;IF(J301="",", Firm","")&amp;IF(K301="",", Client","")&amp;IF(M301="",", Date of Instruction","")&amp;IF(N301="",", Instruction Type","")&amp;IF(O301="",", Reinstruction","")&amp;IF(AND(I301="Allocated",Q301=""),", Investigator","")&amp;IF(AND(I301="Allocated",R301=""),", Date Assigned","")&amp;IF(AND(U301="Yes",V301=""),", Licence Check Notes",""),", ","",1))</f>
        <v/>
      </c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2">
        <f>IF(A302="","",IF(OR(A302="",B302="",C302="",E302="",F302="",I302="",J302="",K302="",M302="",N302="",O302="",AND(I302="Allocated",OR(Q302="",R302="")),AND(U302="Yes",V302="")),"Incomplete","Ready"))</f>
        <v/>
      </c>
      <c r="X302" s="23">
        <f>IF(W302&lt;&gt;"Incomplete","",SUBSTITUTE(IF(B302="",", Street Address","")&amp;IF(C302="",", City","")&amp;IF(E302="",", Postcode","")&amp;IF(F302="",", Licensing Authority","")&amp;IF(I302="",", Status","")&amp;IF(J302="",", Firm","")&amp;IF(K302="",", Client","")&amp;IF(M302="",", Date of Instruction","")&amp;IF(N302="",", Instruction Type","")&amp;IF(O302="",", Reinstruction","")&amp;IF(AND(I302="Allocated",Q302=""),", Investigator","")&amp;IF(AND(I302="Allocated",R302=""),", Date Assigned","")&amp;IF(AND(U302="Yes",V302=""),", Licence Check Notes",""),", ","",1))</f>
        <v/>
      </c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2">
        <f>IF(A303="","",IF(OR(A303="",B303="",C303="",E303="",F303="",I303="",J303="",K303="",M303="",N303="",O303="",AND(I303="Allocated",OR(Q303="",R303="")),AND(U303="Yes",V303="")),"Incomplete","Ready"))</f>
        <v/>
      </c>
      <c r="X303" s="23">
        <f>IF(W303&lt;&gt;"Incomplete","",SUBSTITUTE(IF(B303="",", Street Address","")&amp;IF(C303="",", City","")&amp;IF(E303="",", Postcode","")&amp;IF(F303="",", Licensing Authority","")&amp;IF(I303="",", Status","")&amp;IF(J303="",", Firm","")&amp;IF(K303="",", Client","")&amp;IF(M303="",", Date of Instruction","")&amp;IF(N303="",", Instruction Type","")&amp;IF(O303="",", Reinstruction","")&amp;IF(AND(I303="Allocated",Q303=""),", Investigator","")&amp;IF(AND(I303="Allocated",R303=""),", Date Assigned","")&amp;IF(AND(U303="Yes",V303=""),", Licence Check Notes",""),", ","",1))</f>
        <v/>
      </c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2">
        <f>IF(A304="","",IF(OR(A304="",B304="",C304="",E304="",F304="",I304="",J304="",K304="",M304="",N304="",O304="",AND(I304="Allocated",OR(Q304="",R304="")),AND(U304="Yes",V304="")),"Incomplete","Ready"))</f>
        <v/>
      </c>
      <c r="X304" s="23">
        <f>IF(W304&lt;&gt;"Incomplete","",SUBSTITUTE(IF(B304="",", Street Address","")&amp;IF(C304="",", City","")&amp;IF(E304="",", Postcode","")&amp;IF(F304="",", Licensing Authority","")&amp;IF(I304="",", Status","")&amp;IF(J304="",", Firm","")&amp;IF(K304="",", Client","")&amp;IF(M304="",", Date of Instruction","")&amp;IF(N304="",", Instruction Type","")&amp;IF(O304="",", Reinstruction","")&amp;IF(AND(I304="Allocated",Q304=""),", Investigator","")&amp;IF(AND(I304="Allocated",R304=""),", Date Assigned","")&amp;IF(AND(U304="Yes",V304=""),", Licence Check Notes",""),", ","",1))</f>
        <v/>
      </c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2">
        <f>IF(A305="","",IF(OR(A305="",B305="",C305="",E305="",F305="",I305="",J305="",K305="",M305="",N305="",O305="",AND(I305="Allocated",OR(Q305="",R305="")),AND(U305="Yes",V305="")),"Incomplete","Ready"))</f>
        <v/>
      </c>
      <c r="X305" s="23">
        <f>IF(W305&lt;&gt;"Incomplete","",SUBSTITUTE(IF(B305="",", Street Address","")&amp;IF(C305="",", City","")&amp;IF(E305="",", Postcode","")&amp;IF(F305="",", Licensing Authority","")&amp;IF(I305="",", Status","")&amp;IF(J305="",", Firm","")&amp;IF(K305="",", Client","")&amp;IF(M305="",", Date of Instruction","")&amp;IF(N305="",", Instruction Type","")&amp;IF(O305="",", Reinstruction","")&amp;IF(AND(I305="Allocated",Q305=""),", Investigator","")&amp;IF(AND(I305="Allocated",R305=""),", Date Assigned","")&amp;IF(AND(U305="Yes",V305=""),", Licence Check Notes",""),", ","",1))</f>
        <v/>
      </c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2">
        <f>IF(A306="","",IF(OR(A306="",B306="",C306="",E306="",F306="",I306="",J306="",K306="",M306="",N306="",O306="",AND(I306="Allocated",OR(Q306="",R306="")),AND(U306="Yes",V306="")),"Incomplete","Ready"))</f>
        <v/>
      </c>
      <c r="X306" s="23">
        <f>IF(W306&lt;&gt;"Incomplete","",SUBSTITUTE(IF(B306="",", Street Address","")&amp;IF(C306="",", City","")&amp;IF(E306="",", Postcode","")&amp;IF(F306="",", Licensing Authority","")&amp;IF(I306="",", Status","")&amp;IF(J306="",", Firm","")&amp;IF(K306="",", Client","")&amp;IF(M306="",", Date of Instruction","")&amp;IF(N306="",", Instruction Type","")&amp;IF(O306="",", Reinstruction","")&amp;IF(AND(I306="Allocated",Q306=""),", Investigator","")&amp;IF(AND(I306="Allocated",R306=""),", Date Assigned","")&amp;IF(AND(U306="Yes",V306=""),", Licence Check Notes",""),", ","",1))</f>
        <v/>
      </c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2">
        <f>IF(A307="","",IF(OR(A307="",B307="",C307="",E307="",F307="",I307="",J307="",K307="",M307="",N307="",O307="",AND(I307="Allocated",OR(Q307="",R307="")),AND(U307="Yes",V307="")),"Incomplete","Ready"))</f>
        <v/>
      </c>
      <c r="X307" s="23">
        <f>IF(W307&lt;&gt;"Incomplete","",SUBSTITUTE(IF(B307="",", Street Address","")&amp;IF(C307="",", City","")&amp;IF(E307="",", Postcode","")&amp;IF(F307="",", Licensing Authority","")&amp;IF(I307="",", Status","")&amp;IF(J307="",", Firm","")&amp;IF(K307="",", Client","")&amp;IF(M307="",", Date of Instruction","")&amp;IF(N307="",", Instruction Type","")&amp;IF(O307="",", Reinstruction","")&amp;IF(AND(I307="Allocated",Q307=""),", Investigator","")&amp;IF(AND(I307="Allocated",R307=""),", Date Assigned","")&amp;IF(AND(U307="Yes",V307=""),", Licence Check Notes",""),", ","",1))</f>
        <v/>
      </c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2">
        <f>IF(A308="","",IF(OR(A308="",B308="",C308="",E308="",F308="",I308="",J308="",K308="",M308="",N308="",O308="",AND(I308="Allocated",OR(Q308="",R308="")),AND(U308="Yes",V308="")),"Incomplete","Ready"))</f>
        <v/>
      </c>
      <c r="X308" s="23">
        <f>IF(W308&lt;&gt;"Incomplete","",SUBSTITUTE(IF(B308="",", Street Address","")&amp;IF(C308="",", City","")&amp;IF(E308="",", Postcode","")&amp;IF(F308="",", Licensing Authority","")&amp;IF(I308="",", Status","")&amp;IF(J308="",", Firm","")&amp;IF(K308="",", Client","")&amp;IF(M308="",", Date of Instruction","")&amp;IF(N308="",", Instruction Type","")&amp;IF(O308="",", Reinstruction","")&amp;IF(AND(I308="Allocated",Q308=""),", Investigator","")&amp;IF(AND(I308="Allocated",R308=""),", Date Assigned","")&amp;IF(AND(U308="Yes",V308=""),", Licence Check Notes",""),", ","",1))</f>
        <v/>
      </c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2">
        <f>IF(A309="","",IF(OR(A309="",B309="",C309="",E309="",F309="",I309="",J309="",K309="",M309="",N309="",O309="",AND(I309="Allocated",OR(Q309="",R309="")),AND(U309="Yes",V309="")),"Incomplete","Ready"))</f>
        <v/>
      </c>
      <c r="X309" s="23">
        <f>IF(W309&lt;&gt;"Incomplete","",SUBSTITUTE(IF(B309="",", Street Address","")&amp;IF(C309="",", City","")&amp;IF(E309="",", Postcode","")&amp;IF(F309="",", Licensing Authority","")&amp;IF(I309="",", Status","")&amp;IF(J309="",", Firm","")&amp;IF(K309="",", Client","")&amp;IF(M309="",", Date of Instruction","")&amp;IF(N309="",", Instruction Type","")&amp;IF(O309="",", Reinstruction","")&amp;IF(AND(I309="Allocated",Q309=""),", Investigator","")&amp;IF(AND(I309="Allocated",R309=""),", Date Assigned","")&amp;IF(AND(U309="Yes",V309=""),", Licence Check Notes",""),", ","",1))</f>
        <v/>
      </c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2">
        <f>IF(A310="","",IF(OR(A310="",B310="",C310="",E310="",F310="",I310="",J310="",K310="",M310="",N310="",O310="",AND(I310="Allocated",OR(Q310="",R310="")),AND(U310="Yes",V310="")),"Incomplete","Ready"))</f>
        <v/>
      </c>
      <c r="X310" s="23">
        <f>IF(W310&lt;&gt;"Incomplete","",SUBSTITUTE(IF(B310="",", Street Address","")&amp;IF(C310="",", City","")&amp;IF(E310="",", Postcode","")&amp;IF(F310="",", Licensing Authority","")&amp;IF(I310="",", Status","")&amp;IF(J310="",", Firm","")&amp;IF(K310="",", Client","")&amp;IF(M310="",", Date of Instruction","")&amp;IF(N310="",", Instruction Type","")&amp;IF(O310="",", Reinstruction","")&amp;IF(AND(I310="Allocated",Q310=""),", Investigator","")&amp;IF(AND(I310="Allocated",R310=""),", Date Assigned","")&amp;IF(AND(U310="Yes",V310=""),", Licence Check Notes",""),", ","",1))</f>
        <v/>
      </c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2">
        <f>IF(A311="","",IF(OR(A311="",B311="",C311="",E311="",F311="",I311="",J311="",K311="",M311="",N311="",O311="",AND(I311="Allocated",OR(Q311="",R311="")),AND(U311="Yes",V311="")),"Incomplete","Ready"))</f>
        <v/>
      </c>
      <c r="X311" s="23">
        <f>IF(W311&lt;&gt;"Incomplete","",SUBSTITUTE(IF(B311="",", Street Address","")&amp;IF(C311="",", City","")&amp;IF(E311="",", Postcode","")&amp;IF(F311="",", Licensing Authority","")&amp;IF(I311="",", Status","")&amp;IF(J311="",", Firm","")&amp;IF(K311="",", Client","")&amp;IF(M311="",", Date of Instruction","")&amp;IF(N311="",", Instruction Type","")&amp;IF(O311="",", Reinstruction","")&amp;IF(AND(I311="Allocated",Q311=""),", Investigator","")&amp;IF(AND(I311="Allocated",R311=""),", Date Assigned","")&amp;IF(AND(U311="Yes",V311=""),", Licence Check Notes",""),", ","",1))</f>
        <v/>
      </c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2">
        <f>IF(A312="","",IF(OR(A312="",B312="",C312="",E312="",F312="",I312="",J312="",K312="",M312="",N312="",O312="",AND(I312="Allocated",OR(Q312="",R312="")),AND(U312="Yes",V312="")),"Incomplete","Ready"))</f>
        <v/>
      </c>
      <c r="X312" s="23">
        <f>IF(W312&lt;&gt;"Incomplete","",SUBSTITUTE(IF(B312="",", Street Address","")&amp;IF(C312="",", City","")&amp;IF(E312="",", Postcode","")&amp;IF(F312="",", Licensing Authority","")&amp;IF(I312="",", Status","")&amp;IF(J312="",", Firm","")&amp;IF(K312="",", Client","")&amp;IF(M312="",", Date of Instruction","")&amp;IF(N312="",", Instruction Type","")&amp;IF(O312="",", Reinstruction","")&amp;IF(AND(I312="Allocated",Q312=""),", Investigator","")&amp;IF(AND(I312="Allocated",R312=""),", Date Assigned","")&amp;IF(AND(U312="Yes",V312=""),", Licence Check Notes",""),", ","",1))</f>
        <v/>
      </c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2">
        <f>IF(A313="","",IF(OR(A313="",B313="",C313="",E313="",F313="",I313="",J313="",K313="",M313="",N313="",O313="",AND(I313="Allocated",OR(Q313="",R313="")),AND(U313="Yes",V313="")),"Incomplete","Ready"))</f>
        <v/>
      </c>
      <c r="X313" s="23">
        <f>IF(W313&lt;&gt;"Incomplete","",SUBSTITUTE(IF(B313="",", Street Address","")&amp;IF(C313="",", City","")&amp;IF(E313="",", Postcode","")&amp;IF(F313="",", Licensing Authority","")&amp;IF(I313="",", Status","")&amp;IF(J313="",", Firm","")&amp;IF(K313="",", Client","")&amp;IF(M313="",", Date of Instruction","")&amp;IF(N313="",", Instruction Type","")&amp;IF(O313="",", Reinstruction","")&amp;IF(AND(I313="Allocated",Q313=""),", Investigator","")&amp;IF(AND(I313="Allocated",R313=""),", Date Assigned","")&amp;IF(AND(U313="Yes",V313=""),", Licence Check Notes",""),", ","",1))</f>
        <v/>
      </c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2">
        <f>IF(A314="","",IF(OR(A314="",B314="",C314="",E314="",F314="",I314="",J314="",K314="",M314="",N314="",O314="",AND(I314="Allocated",OR(Q314="",R314="")),AND(U314="Yes",V314="")),"Incomplete","Ready"))</f>
        <v/>
      </c>
      <c r="X314" s="23">
        <f>IF(W314&lt;&gt;"Incomplete","",SUBSTITUTE(IF(B314="",", Street Address","")&amp;IF(C314="",", City","")&amp;IF(E314="",", Postcode","")&amp;IF(F314="",", Licensing Authority","")&amp;IF(I314="",", Status","")&amp;IF(J314="",", Firm","")&amp;IF(K314="",", Client","")&amp;IF(M314="",", Date of Instruction","")&amp;IF(N314="",", Instruction Type","")&amp;IF(O314="",", Reinstruction","")&amp;IF(AND(I314="Allocated",Q314=""),", Investigator","")&amp;IF(AND(I314="Allocated",R314=""),", Date Assigned","")&amp;IF(AND(U314="Yes",V314=""),", Licence Check Notes",""),", ","",1))</f>
        <v/>
      </c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2">
        <f>IF(A315="","",IF(OR(A315="",B315="",C315="",E315="",F315="",I315="",J315="",K315="",M315="",N315="",O315="",AND(I315="Allocated",OR(Q315="",R315="")),AND(U315="Yes",V315="")),"Incomplete","Ready"))</f>
        <v/>
      </c>
      <c r="X315" s="23">
        <f>IF(W315&lt;&gt;"Incomplete","",SUBSTITUTE(IF(B315="",", Street Address","")&amp;IF(C315="",", City","")&amp;IF(E315="",", Postcode","")&amp;IF(F315="",", Licensing Authority","")&amp;IF(I315="",", Status","")&amp;IF(J315="",", Firm","")&amp;IF(K315="",", Client","")&amp;IF(M315="",", Date of Instruction","")&amp;IF(N315="",", Instruction Type","")&amp;IF(O315="",", Reinstruction","")&amp;IF(AND(I315="Allocated",Q315=""),", Investigator","")&amp;IF(AND(I315="Allocated",R315=""),", Date Assigned","")&amp;IF(AND(U315="Yes",V315=""),", Licence Check Notes",""),", ","",1))</f>
        <v/>
      </c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2">
        <f>IF(A316="","",IF(OR(A316="",B316="",C316="",E316="",F316="",I316="",J316="",K316="",M316="",N316="",O316="",AND(I316="Allocated",OR(Q316="",R316="")),AND(U316="Yes",V316="")),"Incomplete","Ready"))</f>
        <v/>
      </c>
      <c r="X316" s="23">
        <f>IF(W316&lt;&gt;"Incomplete","",SUBSTITUTE(IF(B316="",", Street Address","")&amp;IF(C316="",", City","")&amp;IF(E316="",", Postcode","")&amp;IF(F316="",", Licensing Authority","")&amp;IF(I316="",", Status","")&amp;IF(J316="",", Firm","")&amp;IF(K316="",", Client","")&amp;IF(M316="",", Date of Instruction","")&amp;IF(N316="",", Instruction Type","")&amp;IF(O316="",", Reinstruction","")&amp;IF(AND(I316="Allocated",Q316=""),", Investigator","")&amp;IF(AND(I316="Allocated",R316=""),", Date Assigned","")&amp;IF(AND(U316="Yes",V316=""),", Licence Check Notes",""),", ","",1))</f>
        <v/>
      </c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2">
        <f>IF(A317="","",IF(OR(A317="",B317="",C317="",E317="",F317="",I317="",J317="",K317="",M317="",N317="",O317="",AND(I317="Allocated",OR(Q317="",R317="")),AND(U317="Yes",V317="")),"Incomplete","Ready"))</f>
        <v/>
      </c>
      <c r="X317" s="23">
        <f>IF(W317&lt;&gt;"Incomplete","",SUBSTITUTE(IF(B317="",", Street Address","")&amp;IF(C317="",", City","")&amp;IF(E317="",", Postcode","")&amp;IF(F317="",", Licensing Authority","")&amp;IF(I317="",", Status","")&amp;IF(J317="",", Firm","")&amp;IF(K317="",", Client","")&amp;IF(M317="",", Date of Instruction","")&amp;IF(N317="",", Instruction Type","")&amp;IF(O317="",", Reinstruction","")&amp;IF(AND(I317="Allocated",Q317=""),", Investigator","")&amp;IF(AND(I317="Allocated",R317=""),", Date Assigned","")&amp;IF(AND(U317="Yes",V317=""),", Licence Check Notes",""),", ","",1))</f>
        <v/>
      </c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2">
        <f>IF(A318="","",IF(OR(A318="",B318="",C318="",E318="",F318="",I318="",J318="",K318="",M318="",N318="",O318="",AND(I318="Allocated",OR(Q318="",R318="")),AND(U318="Yes",V318="")),"Incomplete","Ready"))</f>
        <v/>
      </c>
      <c r="X318" s="23">
        <f>IF(W318&lt;&gt;"Incomplete","",SUBSTITUTE(IF(B318="",", Street Address","")&amp;IF(C318="",", City","")&amp;IF(E318="",", Postcode","")&amp;IF(F318="",", Licensing Authority","")&amp;IF(I318="",", Status","")&amp;IF(J318="",", Firm","")&amp;IF(K318="",", Client","")&amp;IF(M318="",", Date of Instruction","")&amp;IF(N318="",", Instruction Type","")&amp;IF(O318="",", Reinstruction","")&amp;IF(AND(I318="Allocated",Q318=""),", Investigator","")&amp;IF(AND(I318="Allocated",R318=""),", Date Assigned","")&amp;IF(AND(U318="Yes",V318=""),", Licence Check Notes",""),", ","",1))</f>
        <v/>
      </c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2">
        <f>IF(A319="","",IF(OR(A319="",B319="",C319="",E319="",F319="",I319="",J319="",K319="",M319="",N319="",O319="",AND(I319="Allocated",OR(Q319="",R319="")),AND(U319="Yes",V319="")),"Incomplete","Ready"))</f>
        <v/>
      </c>
      <c r="X319" s="23">
        <f>IF(W319&lt;&gt;"Incomplete","",SUBSTITUTE(IF(B319="",", Street Address","")&amp;IF(C319="",", City","")&amp;IF(E319="",", Postcode","")&amp;IF(F319="",", Licensing Authority","")&amp;IF(I319="",", Status","")&amp;IF(J319="",", Firm","")&amp;IF(K319="",", Client","")&amp;IF(M319="",", Date of Instruction","")&amp;IF(N319="",", Instruction Type","")&amp;IF(O319="",", Reinstruction","")&amp;IF(AND(I319="Allocated",Q319=""),", Investigator","")&amp;IF(AND(I319="Allocated",R319=""),", Date Assigned","")&amp;IF(AND(U319="Yes",V319=""),", Licence Check Notes",""),", ","",1))</f>
        <v/>
      </c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2">
        <f>IF(A320="","",IF(OR(A320="",B320="",C320="",E320="",F320="",I320="",J320="",K320="",M320="",N320="",O320="",AND(I320="Allocated",OR(Q320="",R320="")),AND(U320="Yes",V320="")),"Incomplete","Ready"))</f>
        <v/>
      </c>
      <c r="X320" s="23">
        <f>IF(W320&lt;&gt;"Incomplete","",SUBSTITUTE(IF(B320="",", Street Address","")&amp;IF(C320="",", City","")&amp;IF(E320="",", Postcode","")&amp;IF(F320="",", Licensing Authority","")&amp;IF(I320="",", Status","")&amp;IF(J320="",", Firm","")&amp;IF(K320="",", Client","")&amp;IF(M320="",", Date of Instruction","")&amp;IF(N320="",", Instruction Type","")&amp;IF(O320="",", Reinstruction","")&amp;IF(AND(I320="Allocated",Q320=""),", Investigator","")&amp;IF(AND(I320="Allocated",R320=""),", Date Assigned","")&amp;IF(AND(U320="Yes",V320=""),", Licence Check Notes",""),", ","",1))</f>
        <v/>
      </c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2">
        <f>IF(A321="","",IF(OR(A321="",B321="",C321="",E321="",F321="",I321="",J321="",K321="",M321="",N321="",O321="",AND(I321="Allocated",OR(Q321="",R321="")),AND(U321="Yes",V321="")),"Incomplete","Ready"))</f>
        <v/>
      </c>
      <c r="X321" s="23">
        <f>IF(W321&lt;&gt;"Incomplete","",SUBSTITUTE(IF(B321="",", Street Address","")&amp;IF(C321="",", City","")&amp;IF(E321="",", Postcode","")&amp;IF(F321="",", Licensing Authority","")&amp;IF(I321="",", Status","")&amp;IF(J321="",", Firm","")&amp;IF(K321="",", Client","")&amp;IF(M321="",", Date of Instruction","")&amp;IF(N321="",", Instruction Type","")&amp;IF(O321="",", Reinstruction","")&amp;IF(AND(I321="Allocated",Q321=""),", Investigator","")&amp;IF(AND(I321="Allocated",R321=""),", Date Assigned","")&amp;IF(AND(U321="Yes",V321=""),", Licence Check Notes",""),", ","",1))</f>
        <v/>
      </c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2">
        <f>IF(A322="","",IF(OR(A322="",B322="",C322="",E322="",F322="",I322="",J322="",K322="",M322="",N322="",O322="",AND(I322="Allocated",OR(Q322="",R322="")),AND(U322="Yes",V322="")),"Incomplete","Ready"))</f>
        <v/>
      </c>
      <c r="X322" s="23">
        <f>IF(W322&lt;&gt;"Incomplete","",SUBSTITUTE(IF(B322="",", Street Address","")&amp;IF(C322="",", City","")&amp;IF(E322="",", Postcode","")&amp;IF(F322="",", Licensing Authority","")&amp;IF(I322="",", Status","")&amp;IF(J322="",", Firm","")&amp;IF(K322="",", Client","")&amp;IF(M322="",", Date of Instruction","")&amp;IF(N322="",", Instruction Type","")&amp;IF(O322="",", Reinstruction","")&amp;IF(AND(I322="Allocated",Q322=""),", Investigator","")&amp;IF(AND(I322="Allocated",R322=""),", Date Assigned","")&amp;IF(AND(U322="Yes",V322=""),", Licence Check Notes",""),", ","",1))</f>
        <v/>
      </c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2">
        <f>IF(A323="","",IF(OR(A323="",B323="",C323="",E323="",F323="",I323="",J323="",K323="",M323="",N323="",O323="",AND(I323="Allocated",OR(Q323="",R323="")),AND(U323="Yes",V323="")),"Incomplete","Ready"))</f>
        <v/>
      </c>
      <c r="X323" s="23">
        <f>IF(W323&lt;&gt;"Incomplete","",SUBSTITUTE(IF(B323="",", Street Address","")&amp;IF(C323="",", City","")&amp;IF(E323="",", Postcode","")&amp;IF(F323="",", Licensing Authority","")&amp;IF(I323="",", Status","")&amp;IF(J323="",", Firm","")&amp;IF(K323="",", Client","")&amp;IF(M323="",", Date of Instruction","")&amp;IF(N323="",", Instruction Type","")&amp;IF(O323="",", Reinstruction","")&amp;IF(AND(I323="Allocated",Q323=""),", Investigator","")&amp;IF(AND(I323="Allocated",R323=""),", Date Assigned","")&amp;IF(AND(U323="Yes",V323=""),", Licence Check Notes",""),", ","",1))</f>
        <v/>
      </c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2">
        <f>IF(A324="","",IF(OR(A324="",B324="",C324="",E324="",F324="",I324="",J324="",K324="",M324="",N324="",O324="",AND(I324="Allocated",OR(Q324="",R324="")),AND(U324="Yes",V324="")),"Incomplete","Ready"))</f>
        <v/>
      </c>
      <c r="X324" s="23">
        <f>IF(W324&lt;&gt;"Incomplete","",SUBSTITUTE(IF(B324="",", Street Address","")&amp;IF(C324="",", City","")&amp;IF(E324="",", Postcode","")&amp;IF(F324="",", Licensing Authority","")&amp;IF(I324="",", Status","")&amp;IF(J324="",", Firm","")&amp;IF(K324="",", Client","")&amp;IF(M324="",", Date of Instruction","")&amp;IF(N324="",", Instruction Type","")&amp;IF(O324="",", Reinstruction","")&amp;IF(AND(I324="Allocated",Q324=""),", Investigator","")&amp;IF(AND(I324="Allocated",R324=""),", Date Assigned","")&amp;IF(AND(U324="Yes",V324=""),", Licence Check Notes",""),", ","",1))</f>
        <v/>
      </c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2">
        <f>IF(A325="","",IF(OR(A325="",B325="",C325="",E325="",F325="",I325="",J325="",K325="",M325="",N325="",O325="",AND(I325="Allocated",OR(Q325="",R325="")),AND(U325="Yes",V325="")),"Incomplete","Ready"))</f>
        <v/>
      </c>
      <c r="X325" s="23">
        <f>IF(W325&lt;&gt;"Incomplete","",SUBSTITUTE(IF(B325="",", Street Address","")&amp;IF(C325="",", City","")&amp;IF(E325="",", Postcode","")&amp;IF(F325="",", Licensing Authority","")&amp;IF(I325="",", Status","")&amp;IF(J325="",", Firm","")&amp;IF(K325="",", Client","")&amp;IF(M325="",", Date of Instruction","")&amp;IF(N325="",", Instruction Type","")&amp;IF(O325="",", Reinstruction","")&amp;IF(AND(I325="Allocated",Q325=""),", Investigator","")&amp;IF(AND(I325="Allocated",R325=""),", Date Assigned","")&amp;IF(AND(U325="Yes",V325=""),", Licence Check Notes",""),", ","",1))</f>
        <v/>
      </c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2">
        <f>IF(A326="","",IF(OR(A326="",B326="",C326="",E326="",F326="",I326="",J326="",K326="",M326="",N326="",O326="",AND(I326="Allocated",OR(Q326="",R326="")),AND(U326="Yes",V326="")),"Incomplete","Ready"))</f>
        <v/>
      </c>
      <c r="X326" s="23">
        <f>IF(W326&lt;&gt;"Incomplete","",SUBSTITUTE(IF(B326="",", Street Address","")&amp;IF(C326="",", City","")&amp;IF(E326="",", Postcode","")&amp;IF(F326="",", Licensing Authority","")&amp;IF(I326="",", Status","")&amp;IF(J326="",", Firm","")&amp;IF(K326="",", Client","")&amp;IF(M326="",", Date of Instruction","")&amp;IF(N326="",", Instruction Type","")&amp;IF(O326="",", Reinstruction","")&amp;IF(AND(I326="Allocated",Q326=""),", Investigator","")&amp;IF(AND(I326="Allocated",R326=""),", Date Assigned","")&amp;IF(AND(U326="Yes",V326=""),", Licence Check Notes",""),", ","",1))</f>
        <v/>
      </c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2">
        <f>IF(A327="","",IF(OR(A327="",B327="",C327="",E327="",F327="",I327="",J327="",K327="",M327="",N327="",O327="",AND(I327="Allocated",OR(Q327="",R327="")),AND(U327="Yes",V327="")),"Incomplete","Ready"))</f>
        <v/>
      </c>
      <c r="X327" s="23">
        <f>IF(W327&lt;&gt;"Incomplete","",SUBSTITUTE(IF(B327="",", Street Address","")&amp;IF(C327="",", City","")&amp;IF(E327="",", Postcode","")&amp;IF(F327="",", Licensing Authority","")&amp;IF(I327="",", Status","")&amp;IF(J327="",", Firm","")&amp;IF(K327="",", Client","")&amp;IF(M327="",", Date of Instruction","")&amp;IF(N327="",", Instruction Type","")&amp;IF(O327="",", Reinstruction","")&amp;IF(AND(I327="Allocated",Q327=""),", Investigator","")&amp;IF(AND(I327="Allocated",R327=""),", Date Assigned","")&amp;IF(AND(U327="Yes",V327=""),", Licence Check Notes",""),", ","",1))</f>
        <v/>
      </c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2">
        <f>IF(A328="","",IF(OR(A328="",B328="",C328="",E328="",F328="",I328="",J328="",K328="",M328="",N328="",O328="",AND(I328="Allocated",OR(Q328="",R328="")),AND(U328="Yes",V328="")),"Incomplete","Ready"))</f>
        <v/>
      </c>
      <c r="X328" s="23">
        <f>IF(W328&lt;&gt;"Incomplete","",SUBSTITUTE(IF(B328="",", Street Address","")&amp;IF(C328="",", City","")&amp;IF(E328="",", Postcode","")&amp;IF(F328="",", Licensing Authority","")&amp;IF(I328="",", Status","")&amp;IF(J328="",", Firm","")&amp;IF(K328="",", Client","")&amp;IF(M328="",", Date of Instruction","")&amp;IF(N328="",", Instruction Type","")&amp;IF(O328="",", Reinstruction","")&amp;IF(AND(I328="Allocated",Q328=""),", Investigator","")&amp;IF(AND(I328="Allocated",R328=""),", Date Assigned","")&amp;IF(AND(U328="Yes",V328=""),", Licence Check Notes",""),", ","",1))</f>
        <v/>
      </c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2">
        <f>IF(A329="","",IF(OR(A329="",B329="",C329="",E329="",F329="",I329="",J329="",K329="",M329="",N329="",O329="",AND(I329="Allocated",OR(Q329="",R329="")),AND(U329="Yes",V329="")),"Incomplete","Ready"))</f>
        <v/>
      </c>
      <c r="X329" s="23">
        <f>IF(W329&lt;&gt;"Incomplete","",SUBSTITUTE(IF(B329="",", Street Address","")&amp;IF(C329="",", City","")&amp;IF(E329="",", Postcode","")&amp;IF(F329="",", Licensing Authority","")&amp;IF(I329="",", Status","")&amp;IF(J329="",", Firm","")&amp;IF(K329="",", Client","")&amp;IF(M329="",", Date of Instruction","")&amp;IF(N329="",", Instruction Type","")&amp;IF(O329="",", Reinstruction","")&amp;IF(AND(I329="Allocated",Q329=""),", Investigator","")&amp;IF(AND(I329="Allocated",R329=""),", Date Assigned","")&amp;IF(AND(U329="Yes",V329=""),", Licence Check Notes",""),", ","",1))</f>
        <v/>
      </c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2">
        <f>IF(A330="","",IF(OR(A330="",B330="",C330="",E330="",F330="",I330="",J330="",K330="",M330="",N330="",O330="",AND(I330="Allocated",OR(Q330="",R330="")),AND(U330="Yes",V330="")),"Incomplete","Ready"))</f>
        <v/>
      </c>
      <c r="X330" s="23">
        <f>IF(W330&lt;&gt;"Incomplete","",SUBSTITUTE(IF(B330="",", Street Address","")&amp;IF(C330="",", City","")&amp;IF(E330="",", Postcode","")&amp;IF(F330="",", Licensing Authority","")&amp;IF(I330="",", Status","")&amp;IF(J330="",", Firm","")&amp;IF(K330="",", Client","")&amp;IF(M330="",", Date of Instruction","")&amp;IF(N330="",", Instruction Type","")&amp;IF(O330="",", Reinstruction","")&amp;IF(AND(I330="Allocated",Q330=""),", Investigator","")&amp;IF(AND(I330="Allocated",R330=""),", Date Assigned","")&amp;IF(AND(U330="Yes",V330=""),", Licence Check Notes",""),", ","",1))</f>
        <v/>
      </c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2">
        <f>IF(A331="","",IF(OR(A331="",B331="",C331="",E331="",F331="",I331="",J331="",K331="",M331="",N331="",O331="",AND(I331="Allocated",OR(Q331="",R331="")),AND(U331="Yes",V331="")),"Incomplete","Ready"))</f>
        <v/>
      </c>
      <c r="X331" s="23">
        <f>IF(W331&lt;&gt;"Incomplete","",SUBSTITUTE(IF(B331="",", Street Address","")&amp;IF(C331="",", City","")&amp;IF(E331="",", Postcode","")&amp;IF(F331="",", Licensing Authority","")&amp;IF(I331="",", Status","")&amp;IF(J331="",", Firm","")&amp;IF(K331="",", Client","")&amp;IF(M331="",", Date of Instruction","")&amp;IF(N331="",", Instruction Type","")&amp;IF(O331="",", Reinstruction","")&amp;IF(AND(I331="Allocated",Q331=""),", Investigator","")&amp;IF(AND(I331="Allocated",R331=""),", Date Assigned","")&amp;IF(AND(U331="Yes",V331=""),", Licence Check Notes",""),", ","",1))</f>
        <v/>
      </c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2">
        <f>IF(A332="","",IF(OR(A332="",B332="",C332="",E332="",F332="",I332="",J332="",K332="",M332="",N332="",O332="",AND(I332="Allocated",OR(Q332="",R332="")),AND(U332="Yes",V332="")),"Incomplete","Ready"))</f>
        <v/>
      </c>
      <c r="X332" s="23">
        <f>IF(W332&lt;&gt;"Incomplete","",SUBSTITUTE(IF(B332="",", Street Address","")&amp;IF(C332="",", City","")&amp;IF(E332="",", Postcode","")&amp;IF(F332="",", Licensing Authority","")&amp;IF(I332="",", Status","")&amp;IF(J332="",", Firm","")&amp;IF(K332="",", Client","")&amp;IF(M332="",", Date of Instruction","")&amp;IF(N332="",", Instruction Type","")&amp;IF(O332="",", Reinstruction","")&amp;IF(AND(I332="Allocated",Q332=""),", Investigator","")&amp;IF(AND(I332="Allocated",R332=""),", Date Assigned","")&amp;IF(AND(U332="Yes",V332=""),", Licence Check Notes",""),", ","",1))</f>
        <v/>
      </c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2">
        <f>IF(A333="","",IF(OR(A333="",B333="",C333="",E333="",F333="",I333="",J333="",K333="",M333="",N333="",O333="",AND(I333="Allocated",OR(Q333="",R333="")),AND(U333="Yes",V333="")),"Incomplete","Ready"))</f>
        <v/>
      </c>
      <c r="X333" s="23">
        <f>IF(W333&lt;&gt;"Incomplete","",SUBSTITUTE(IF(B333="",", Street Address","")&amp;IF(C333="",", City","")&amp;IF(E333="",", Postcode","")&amp;IF(F333="",", Licensing Authority","")&amp;IF(I333="",", Status","")&amp;IF(J333="",", Firm","")&amp;IF(K333="",", Client","")&amp;IF(M333="",", Date of Instruction","")&amp;IF(N333="",", Instruction Type","")&amp;IF(O333="",", Reinstruction","")&amp;IF(AND(I333="Allocated",Q333=""),", Investigator","")&amp;IF(AND(I333="Allocated",R333=""),", Date Assigned","")&amp;IF(AND(U333="Yes",V333=""),", Licence Check Notes",""),", ","",1))</f>
        <v/>
      </c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2">
        <f>IF(A334="","",IF(OR(A334="",B334="",C334="",E334="",F334="",I334="",J334="",K334="",M334="",N334="",O334="",AND(I334="Allocated",OR(Q334="",R334="")),AND(U334="Yes",V334="")),"Incomplete","Ready"))</f>
        <v/>
      </c>
      <c r="X334" s="23">
        <f>IF(W334&lt;&gt;"Incomplete","",SUBSTITUTE(IF(B334="",", Street Address","")&amp;IF(C334="",", City","")&amp;IF(E334="",", Postcode","")&amp;IF(F334="",", Licensing Authority","")&amp;IF(I334="",", Status","")&amp;IF(J334="",", Firm","")&amp;IF(K334="",", Client","")&amp;IF(M334="",", Date of Instruction","")&amp;IF(N334="",", Instruction Type","")&amp;IF(O334="",", Reinstruction","")&amp;IF(AND(I334="Allocated",Q334=""),", Investigator","")&amp;IF(AND(I334="Allocated",R334=""),", Date Assigned","")&amp;IF(AND(U334="Yes",V334=""),", Licence Check Notes",""),", ","",1))</f>
        <v/>
      </c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2">
        <f>IF(A335="","",IF(OR(A335="",B335="",C335="",E335="",F335="",I335="",J335="",K335="",M335="",N335="",O335="",AND(I335="Allocated",OR(Q335="",R335="")),AND(U335="Yes",V335="")),"Incomplete","Ready"))</f>
        <v/>
      </c>
      <c r="X335" s="23">
        <f>IF(W335&lt;&gt;"Incomplete","",SUBSTITUTE(IF(B335="",", Street Address","")&amp;IF(C335="",", City","")&amp;IF(E335="",", Postcode","")&amp;IF(F335="",", Licensing Authority","")&amp;IF(I335="",", Status","")&amp;IF(J335="",", Firm","")&amp;IF(K335="",", Client","")&amp;IF(M335="",", Date of Instruction","")&amp;IF(N335="",", Instruction Type","")&amp;IF(O335="",", Reinstruction","")&amp;IF(AND(I335="Allocated",Q335=""),", Investigator","")&amp;IF(AND(I335="Allocated",R335=""),", Date Assigned","")&amp;IF(AND(U335="Yes",V335=""),", Licence Check Notes",""),", ","",1))</f>
        <v/>
      </c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2">
        <f>IF(A336="","",IF(OR(A336="",B336="",C336="",E336="",F336="",I336="",J336="",K336="",M336="",N336="",O336="",AND(I336="Allocated",OR(Q336="",R336="")),AND(U336="Yes",V336="")),"Incomplete","Ready"))</f>
        <v/>
      </c>
      <c r="X336" s="23">
        <f>IF(W336&lt;&gt;"Incomplete","",SUBSTITUTE(IF(B336="",", Street Address","")&amp;IF(C336="",", City","")&amp;IF(E336="",", Postcode","")&amp;IF(F336="",", Licensing Authority","")&amp;IF(I336="",", Status","")&amp;IF(J336="",", Firm","")&amp;IF(K336="",", Client","")&amp;IF(M336="",", Date of Instruction","")&amp;IF(N336="",", Instruction Type","")&amp;IF(O336="",", Reinstruction","")&amp;IF(AND(I336="Allocated",Q336=""),", Investigator","")&amp;IF(AND(I336="Allocated",R336=""),", Date Assigned","")&amp;IF(AND(U336="Yes",V336=""),", Licence Check Notes",""),", ","",1))</f>
        <v/>
      </c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2">
        <f>IF(A337="","",IF(OR(A337="",B337="",C337="",E337="",F337="",I337="",J337="",K337="",M337="",N337="",O337="",AND(I337="Allocated",OR(Q337="",R337="")),AND(U337="Yes",V337="")),"Incomplete","Ready"))</f>
        <v/>
      </c>
      <c r="X337" s="23">
        <f>IF(W337&lt;&gt;"Incomplete","",SUBSTITUTE(IF(B337="",", Street Address","")&amp;IF(C337="",", City","")&amp;IF(E337="",", Postcode","")&amp;IF(F337="",", Licensing Authority","")&amp;IF(I337="",", Status","")&amp;IF(J337="",", Firm","")&amp;IF(K337="",", Client","")&amp;IF(M337="",", Date of Instruction","")&amp;IF(N337="",", Instruction Type","")&amp;IF(O337="",", Reinstruction","")&amp;IF(AND(I337="Allocated",Q337=""),", Investigator","")&amp;IF(AND(I337="Allocated",R337=""),", Date Assigned","")&amp;IF(AND(U337="Yes",V337=""),", Licence Check Notes",""),", ","",1))</f>
        <v/>
      </c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2">
        <f>IF(A338="","",IF(OR(A338="",B338="",C338="",E338="",F338="",I338="",J338="",K338="",M338="",N338="",O338="",AND(I338="Allocated",OR(Q338="",R338="")),AND(U338="Yes",V338="")),"Incomplete","Ready"))</f>
        <v/>
      </c>
      <c r="X338" s="23">
        <f>IF(W338&lt;&gt;"Incomplete","",SUBSTITUTE(IF(B338="",", Street Address","")&amp;IF(C338="",", City","")&amp;IF(E338="",", Postcode","")&amp;IF(F338="",", Licensing Authority","")&amp;IF(I338="",", Status","")&amp;IF(J338="",", Firm","")&amp;IF(K338="",", Client","")&amp;IF(M338="",", Date of Instruction","")&amp;IF(N338="",", Instruction Type","")&amp;IF(O338="",", Reinstruction","")&amp;IF(AND(I338="Allocated",Q338=""),", Investigator","")&amp;IF(AND(I338="Allocated",R338=""),", Date Assigned","")&amp;IF(AND(U338="Yes",V338=""),", Licence Check Notes",""),", ","",1))</f>
        <v/>
      </c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2">
        <f>IF(A339="","",IF(OR(A339="",B339="",C339="",E339="",F339="",I339="",J339="",K339="",M339="",N339="",O339="",AND(I339="Allocated",OR(Q339="",R339="")),AND(U339="Yes",V339="")),"Incomplete","Ready"))</f>
        <v/>
      </c>
      <c r="X339" s="23">
        <f>IF(W339&lt;&gt;"Incomplete","",SUBSTITUTE(IF(B339="",", Street Address","")&amp;IF(C339="",", City","")&amp;IF(E339="",", Postcode","")&amp;IF(F339="",", Licensing Authority","")&amp;IF(I339="",", Status","")&amp;IF(J339="",", Firm","")&amp;IF(K339="",", Client","")&amp;IF(M339="",", Date of Instruction","")&amp;IF(N339="",", Instruction Type","")&amp;IF(O339="",", Reinstruction","")&amp;IF(AND(I339="Allocated",Q339=""),", Investigator","")&amp;IF(AND(I339="Allocated",R339=""),", Date Assigned","")&amp;IF(AND(U339="Yes",V339=""),", Licence Check Notes",""),", ","",1))</f>
        <v/>
      </c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2">
        <f>IF(A340="","",IF(OR(A340="",B340="",C340="",E340="",F340="",I340="",J340="",K340="",M340="",N340="",O340="",AND(I340="Allocated",OR(Q340="",R340="")),AND(U340="Yes",V340="")),"Incomplete","Ready"))</f>
        <v/>
      </c>
      <c r="X340" s="23">
        <f>IF(W340&lt;&gt;"Incomplete","",SUBSTITUTE(IF(B340="",", Street Address","")&amp;IF(C340="",", City","")&amp;IF(E340="",", Postcode","")&amp;IF(F340="",", Licensing Authority","")&amp;IF(I340="",", Status","")&amp;IF(J340="",", Firm","")&amp;IF(K340="",", Client","")&amp;IF(M340="",", Date of Instruction","")&amp;IF(N340="",", Instruction Type","")&amp;IF(O340="",", Reinstruction","")&amp;IF(AND(I340="Allocated",Q340=""),", Investigator","")&amp;IF(AND(I340="Allocated",R340=""),", Date Assigned","")&amp;IF(AND(U340="Yes",V340=""),", Licence Check Notes",""),", ","",1))</f>
        <v/>
      </c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2">
        <f>IF(A341="","",IF(OR(A341="",B341="",C341="",E341="",F341="",I341="",J341="",K341="",M341="",N341="",O341="",AND(I341="Allocated",OR(Q341="",R341="")),AND(U341="Yes",V341="")),"Incomplete","Ready"))</f>
        <v/>
      </c>
      <c r="X341" s="23">
        <f>IF(W341&lt;&gt;"Incomplete","",SUBSTITUTE(IF(B341="",", Street Address","")&amp;IF(C341="",", City","")&amp;IF(E341="",", Postcode","")&amp;IF(F341="",", Licensing Authority","")&amp;IF(I341="",", Status","")&amp;IF(J341="",", Firm","")&amp;IF(K341="",", Client","")&amp;IF(M341="",", Date of Instruction","")&amp;IF(N341="",", Instruction Type","")&amp;IF(O341="",", Reinstruction","")&amp;IF(AND(I341="Allocated",Q341=""),", Investigator","")&amp;IF(AND(I341="Allocated",R341=""),", Date Assigned","")&amp;IF(AND(U341="Yes",V341=""),", Licence Check Notes",""),", ","",1))</f>
        <v/>
      </c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2">
        <f>IF(A342="","",IF(OR(A342="",B342="",C342="",E342="",F342="",I342="",J342="",K342="",M342="",N342="",O342="",AND(I342="Allocated",OR(Q342="",R342="")),AND(U342="Yes",V342="")),"Incomplete","Ready"))</f>
        <v/>
      </c>
      <c r="X342" s="23">
        <f>IF(W342&lt;&gt;"Incomplete","",SUBSTITUTE(IF(B342="",", Street Address","")&amp;IF(C342="",", City","")&amp;IF(E342="",", Postcode","")&amp;IF(F342="",", Licensing Authority","")&amp;IF(I342="",", Status","")&amp;IF(J342="",", Firm","")&amp;IF(K342="",", Client","")&amp;IF(M342="",", Date of Instruction","")&amp;IF(N342="",", Instruction Type","")&amp;IF(O342="",", Reinstruction","")&amp;IF(AND(I342="Allocated",Q342=""),", Investigator","")&amp;IF(AND(I342="Allocated",R342=""),", Date Assigned","")&amp;IF(AND(U342="Yes",V342=""),", Licence Check Notes",""),", ","",1))</f>
        <v/>
      </c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2">
        <f>IF(A343="","",IF(OR(A343="",B343="",C343="",E343="",F343="",I343="",J343="",K343="",M343="",N343="",O343="",AND(I343="Allocated",OR(Q343="",R343="")),AND(U343="Yes",V343="")),"Incomplete","Ready"))</f>
        <v/>
      </c>
      <c r="X343" s="23">
        <f>IF(W343&lt;&gt;"Incomplete","",SUBSTITUTE(IF(B343="",", Street Address","")&amp;IF(C343="",", City","")&amp;IF(E343="",", Postcode","")&amp;IF(F343="",", Licensing Authority","")&amp;IF(I343="",", Status","")&amp;IF(J343="",", Firm","")&amp;IF(K343="",", Client","")&amp;IF(M343="",", Date of Instruction","")&amp;IF(N343="",", Instruction Type","")&amp;IF(O343="",", Reinstruction","")&amp;IF(AND(I343="Allocated",Q343=""),", Investigator","")&amp;IF(AND(I343="Allocated",R343=""),", Date Assigned","")&amp;IF(AND(U343="Yes",V343=""),", Licence Check Notes",""),", ","",1))</f>
        <v/>
      </c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2">
        <f>IF(A344="","",IF(OR(A344="",B344="",C344="",E344="",F344="",I344="",J344="",K344="",M344="",N344="",O344="",AND(I344="Allocated",OR(Q344="",R344="")),AND(U344="Yes",V344="")),"Incomplete","Ready"))</f>
        <v/>
      </c>
      <c r="X344" s="23">
        <f>IF(W344&lt;&gt;"Incomplete","",SUBSTITUTE(IF(B344="",", Street Address","")&amp;IF(C344="",", City","")&amp;IF(E344="",", Postcode","")&amp;IF(F344="",", Licensing Authority","")&amp;IF(I344="",", Status","")&amp;IF(J344="",", Firm","")&amp;IF(K344="",", Client","")&amp;IF(M344="",", Date of Instruction","")&amp;IF(N344="",", Instruction Type","")&amp;IF(O344="",", Reinstruction","")&amp;IF(AND(I344="Allocated",Q344=""),", Investigator","")&amp;IF(AND(I344="Allocated",R344=""),", Date Assigned","")&amp;IF(AND(U344="Yes",V344=""),", Licence Check Notes",""),", ","",1))</f>
        <v/>
      </c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2">
        <f>IF(A345="","",IF(OR(A345="",B345="",C345="",E345="",F345="",I345="",J345="",K345="",M345="",N345="",O345="",AND(I345="Allocated",OR(Q345="",R345="")),AND(U345="Yes",V345="")),"Incomplete","Ready"))</f>
        <v/>
      </c>
      <c r="X345" s="23">
        <f>IF(W345&lt;&gt;"Incomplete","",SUBSTITUTE(IF(B345="",", Street Address","")&amp;IF(C345="",", City","")&amp;IF(E345="",", Postcode","")&amp;IF(F345="",", Licensing Authority","")&amp;IF(I345="",", Status","")&amp;IF(J345="",", Firm","")&amp;IF(K345="",", Client","")&amp;IF(M345="",", Date of Instruction","")&amp;IF(N345="",", Instruction Type","")&amp;IF(O345="",", Reinstruction","")&amp;IF(AND(I345="Allocated",Q345=""),", Investigator","")&amp;IF(AND(I345="Allocated",R345=""),", Date Assigned","")&amp;IF(AND(U345="Yes",V345=""),", Licence Check Notes",""),", ","",1))</f>
        <v/>
      </c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2">
        <f>IF(A346="","",IF(OR(A346="",B346="",C346="",E346="",F346="",I346="",J346="",K346="",M346="",N346="",O346="",AND(I346="Allocated",OR(Q346="",R346="")),AND(U346="Yes",V346="")),"Incomplete","Ready"))</f>
        <v/>
      </c>
      <c r="X346" s="23">
        <f>IF(W346&lt;&gt;"Incomplete","",SUBSTITUTE(IF(B346="",", Street Address","")&amp;IF(C346="",", City","")&amp;IF(E346="",", Postcode","")&amp;IF(F346="",", Licensing Authority","")&amp;IF(I346="",", Status","")&amp;IF(J346="",", Firm","")&amp;IF(K346="",", Client","")&amp;IF(M346="",", Date of Instruction","")&amp;IF(N346="",", Instruction Type","")&amp;IF(O346="",", Reinstruction","")&amp;IF(AND(I346="Allocated",Q346=""),", Investigator","")&amp;IF(AND(I346="Allocated",R346=""),", Date Assigned","")&amp;IF(AND(U346="Yes",V346=""),", Licence Check Notes",""),", ","",1))</f>
        <v/>
      </c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2">
        <f>IF(A347="","",IF(OR(A347="",B347="",C347="",E347="",F347="",I347="",J347="",K347="",M347="",N347="",O347="",AND(I347="Allocated",OR(Q347="",R347="")),AND(U347="Yes",V347="")),"Incomplete","Ready"))</f>
        <v/>
      </c>
      <c r="X347" s="23">
        <f>IF(W347&lt;&gt;"Incomplete","",SUBSTITUTE(IF(B347="",", Street Address","")&amp;IF(C347="",", City","")&amp;IF(E347="",", Postcode","")&amp;IF(F347="",", Licensing Authority","")&amp;IF(I347="",", Status","")&amp;IF(J347="",", Firm","")&amp;IF(K347="",", Client","")&amp;IF(M347="",", Date of Instruction","")&amp;IF(N347="",", Instruction Type","")&amp;IF(O347="",", Reinstruction","")&amp;IF(AND(I347="Allocated",Q347=""),", Investigator","")&amp;IF(AND(I347="Allocated",R347=""),", Date Assigned","")&amp;IF(AND(U347="Yes",V347=""),", Licence Check Notes",""),", ","",1))</f>
        <v/>
      </c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2">
        <f>IF(A348="","",IF(OR(A348="",B348="",C348="",E348="",F348="",I348="",J348="",K348="",M348="",N348="",O348="",AND(I348="Allocated",OR(Q348="",R348="")),AND(U348="Yes",V348="")),"Incomplete","Ready"))</f>
        <v/>
      </c>
      <c r="X348" s="23">
        <f>IF(W348&lt;&gt;"Incomplete","",SUBSTITUTE(IF(B348="",", Street Address","")&amp;IF(C348="",", City","")&amp;IF(E348="",", Postcode","")&amp;IF(F348="",", Licensing Authority","")&amp;IF(I348="",", Status","")&amp;IF(J348="",", Firm","")&amp;IF(K348="",", Client","")&amp;IF(M348="",", Date of Instruction","")&amp;IF(N348="",", Instruction Type","")&amp;IF(O348="",", Reinstruction","")&amp;IF(AND(I348="Allocated",Q348=""),", Investigator","")&amp;IF(AND(I348="Allocated",R348=""),", Date Assigned","")&amp;IF(AND(U348="Yes",V348=""),", Licence Check Notes",""),", ","",1))</f>
        <v/>
      </c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2">
        <f>IF(A349="","",IF(OR(A349="",B349="",C349="",E349="",F349="",I349="",J349="",K349="",M349="",N349="",O349="",AND(I349="Allocated",OR(Q349="",R349="")),AND(U349="Yes",V349="")),"Incomplete","Ready"))</f>
        <v/>
      </c>
      <c r="X349" s="23">
        <f>IF(W349&lt;&gt;"Incomplete","",SUBSTITUTE(IF(B349="",", Street Address","")&amp;IF(C349="",", City","")&amp;IF(E349="",", Postcode","")&amp;IF(F349="",", Licensing Authority","")&amp;IF(I349="",", Status","")&amp;IF(J349="",", Firm","")&amp;IF(K349="",", Client","")&amp;IF(M349="",", Date of Instruction","")&amp;IF(N349="",", Instruction Type","")&amp;IF(O349="",", Reinstruction","")&amp;IF(AND(I349="Allocated",Q349=""),", Investigator","")&amp;IF(AND(I349="Allocated",R349=""),", Date Assigned","")&amp;IF(AND(U349="Yes",V349=""),", Licence Check Notes",""),", ","",1))</f>
        <v/>
      </c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2">
        <f>IF(A350="","",IF(OR(A350="",B350="",C350="",E350="",F350="",I350="",J350="",K350="",M350="",N350="",O350="",AND(I350="Allocated",OR(Q350="",R350="")),AND(U350="Yes",V350="")),"Incomplete","Ready"))</f>
        <v/>
      </c>
      <c r="X350" s="23">
        <f>IF(W350&lt;&gt;"Incomplete","",SUBSTITUTE(IF(B350="",", Street Address","")&amp;IF(C350="",", City","")&amp;IF(E350="",", Postcode","")&amp;IF(F350="",", Licensing Authority","")&amp;IF(I350="",", Status","")&amp;IF(J350="",", Firm","")&amp;IF(K350="",", Client","")&amp;IF(M350="",", Date of Instruction","")&amp;IF(N350="",", Instruction Type","")&amp;IF(O350="",", Reinstruction","")&amp;IF(AND(I350="Allocated",Q350=""),", Investigator","")&amp;IF(AND(I350="Allocated",R350=""),", Date Assigned","")&amp;IF(AND(U350="Yes",V350=""),", Licence Check Notes",""),", ","",1))</f>
        <v/>
      </c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2">
        <f>IF(A351="","",IF(OR(A351="",B351="",C351="",E351="",F351="",I351="",J351="",K351="",M351="",N351="",O351="",AND(I351="Allocated",OR(Q351="",R351="")),AND(U351="Yes",V351="")),"Incomplete","Ready"))</f>
        <v/>
      </c>
      <c r="X351" s="23">
        <f>IF(W351&lt;&gt;"Incomplete","",SUBSTITUTE(IF(B351="",", Street Address","")&amp;IF(C351="",", City","")&amp;IF(E351="",", Postcode","")&amp;IF(F351="",", Licensing Authority","")&amp;IF(I351="",", Status","")&amp;IF(J351="",", Firm","")&amp;IF(K351="",", Client","")&amp;IF(M351="",", Date of Instruction","")&amp;IF(N351="",", Instruction Type","")&amp;IF(O351="",", Reinstruction","")&amp;IF(AND(I351="Allocated",Q351=""),", Investigator","")&amp;IF(AND(I351="Allocated",R351=""),", Date Assigned","")&amp;IF(AND(U351="Yes",V351=""),", Licence Check Notes",""),", ","",1))</f>
        <v/>
      </c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2">
        <f>IF(A352="","",IF(OR(A352="",B352="",C352="",E352="",F352="",I352="",J352="",K352="",M352="",N352="",O352="",AND(I352="Allocated",OR(Q352="",R352="")),AND(U352="Yes",V352="")),"Incomplete","Ready"))</f>
        <v/>
      </c>
      <c r="X352" s="23">
        <f>IF(W352&lt;&gt;"Incomplete","",SUBSTITUTE(IF(B352="",", Street Address","")&amp;IF(C352="",", City","")&amp;IF(E352="",", Postcode","")&amp;IF(F352="",", Licensing Authority","")&amp;IF(I352="",", Status","")&amp;IF(J352="",", Firm","")&amp;IF(K352="",", Client","")&amp;IF(M352="",", Date of Instruction","")&amp;IF(N352="",", Instruction Type","")&amp;IF(O352="",", Reinstruction","")&amp;IF(AND(I352="Allocated",Q352=""),", Investigator","")&amp;IF(AND(I352="Allocated",R352=""),", Date Assigned","")&amp;IF(AND(U352="Yes",V352=""),", Licence Check Notes",""),", ","",1))</f>
        <v/>
      </c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2">
        <f>IF(A353="","",IF(OR(A353="",B353="",C353="",E353="",F353="",I353="",J353="",K353="",M353="",N353="",O353="",AND(I353="Allocated",OR(Q353="",R353="")),AND(U353="Yes",V353="")),"Incomplete","Ready"))</f>
        <v/>
      </c>
      <c r="X353" s="23">
        <f>IF(W353&lt;&gt;"Incomplete","",SUBSTITUTE(IF(B353="",", Street Address","")&amp;IF(C353="",", City","")&amp;IF(E353="",", Postcode","")&amp;IF(F353="",", Licensing Authority","")&amp;IF(I353="",", Status","")&amp;IF(J353="",", Firm","")&amp;IF(K353="",", Client","")&amp;IF(M353="",", Date of Instruction","")&amp;IF(N353="",", Instruction Type","")&amp;IF(O353="",", Reinstruction","")&amp;IF(AND(I353="Allocated",Q353=""),", Investigator","")&amp;IF(AND(I353="Allocated",R353=""),", Date Assigned","")&amp;IF(AND(U353="Yes",V353=""),", Licence Check Notes",""),", ","",1))</f>
        <v/>
      </c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2">
        <f>IF(A354="","",IF(OR(A354="",B354="",C354="",E354="",F354="",I354="",J354="",K354="",M354="",N354="",O354="",AND(I354="Allocated",OR(Q354="",R354="")),AND(U354="Yes",V354="")),"Incomplete","Ready"))</f>
        <v/>
      </c>
      <c r="X354" s="23">
        <f>IF(W354&lt;&gt;"Incomplete","",SUBSTITUTE(IF(B354="",", Street Address","")&amp;IF(C354="",", City","")&amp;IF(E354="",", Postcode","")&amp;IF(F354="",", Licensing Authority","")&amp;IF(I354="",", Status","")&amp;IF(J354="",", Firm","")&amp;IF(K354="",", Client","")&amp;IF(M354="",", Date of Instruction","")&amp;IF(N354="",", Instruction Type","")&amp;IF(O354="",", Reinstruction","")&amp;IF(AND(I354="Allocated",Q354=""),", Investigator","")&amp;IF(AND(I354="Allocated",R354=""),", Date Assigned","")&amp;IF(AND(U354="Yes",V354=""),", Licence Check Notes",""),", ","",1))</f>
        <v/>
      </c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2">
        <f>IF(A355="","",IF(OR(A355="",B355="",C355="",E355="",F355="",I355="",J355="",K355="",M355="",N355="",O355="",AND(I355="Allocated",OR(Q355="",R355="")),AND(U355="Yes",V355="")),"Incomplete","Ready"))</f>
        <v/>
      </c>
      <c r="X355" s="23">
        <f>IF(W355&lt;&gt;"Incomplete","",SUBSTITUTE(IF(B355="",", Street Address","")&amp;IF(C355="",", City","")&amp;IF(E355="",", Postcode","")&amp;IF(F355="",", Licensing Authority","")&amp;IF(I355="",", Status","")&amp;IF(J355="",", Firm","")&amp;IF(K355="",", Client","")&amp;IF(M355="",", Date of Instruction","")&amp;IF(N355="",", Instruction Type","")&amp;IF(O355="",", Reinstruction","")&amp;IF(AND(I355="Allocated",Q355=""),", Investigator","")&amp;IF(AND(I355="Allocated",R355=""),", Date Assigned","")&amp;IF(AND(U355="Yes",V355=""),", Licence Check Notes",""),", ","",1))</f>
        <v/>
      </c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2">
        <f>IF(A356="","",IF(OR(A356="",B356="",C356="",E356="",F356="",I356="",J356="",K356="",M356="",N356="",O356="",AND(I356="Allocated",OR(Q356="",R356="")),AND(U356="Yes",V356="")),"Incomplete","Ready"))</f>
        <v/>
      </c>
      <c r="X356" s="23">
        <f>IF(W356&lt;&gt;"Incomplete","",SUBSTITUTE(IF(B356="",", Street Address","")&amp;IF(C356="",", City","")&amp;IF(E356="",", Postcode","")&amp;IF(F356="",", Licensing Authority","")&amp;IF(I356="",", Status","")&amp;IF(J356="",", Firm","")&amp;IF(K356="",", Client","")&amp;IF(M356="",", Date of Instruction","")&amp;IF(N356="",", Instruction Type","")&amp;IF(O356="",", Reinstruction","")&amp;IF(AND(I356="Allocated",Q356=""),", Investigator","")&amp;IF(AND(I356="Allocated",R356=""),", Date Assigned","")&amp;IF(AND(U356="Yes",V356=""),", Licence Check Notes",""),", ","",1))</f>
        <v/>
      </c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2">
        <f>IF(A357="","",IF(OR(A357="",B357="",C357="",E357="",F357="",I357="",J357="",K357="",M357="",N357="",O357="",AND(I357="Allocated",OR(Q357="",R357="")),AND(U357="Yes",V357="")),"Incomplete","Ready"))</f>
        <v/>
      </c>
      <c r="X357" s="23">
        <f>IF(W357&lt;&gt;"Incomplete","",SUBSTITUTE(IF(B357="",", Street Address","")&amp;IF(C357="",", City","")&amp;IF(E357="",", Postcode","")&amp;IF(F357="",", Licensing Authority","")&amp;IF(I357="",", Status","")&amp;IF(J357="",", Firm","")&amp;IF(K357="",", Client","")&amp;IF(M357="",", Date of Instruction","")&amp;IF(N357="",", Instruction Type","")&amp;IF(O357="",", Reinstruction","")&amp;IF(AND(I357="Allocated",Q357=""),", Investigator","")&amp;IF(AND(I357="Allocated",R357=""),", Date Assigned","")&amp;IF(AND(U357="Yes",V357=""),", Licence Check Notes",""),", ","",1))</f>
        <v/>
      </c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2">
        <f>IF(A358="","",IF(OR(A358="",B358="",C358="",E358="",F358="",I358="",J358="",K358="",M358="",N358="",O358="",AND(I358="Allocated",OR(Q358="",R358="")),AND(U358="Yes",V358="")),"Incomplete","Ready"))</f>
        <v/>
      </c>
      <c r="X358" s="23">
        <f>IF(W358&lt;&gt;"Incomplete","",SUBSTITUTE(IF(B358="",", Street Address","")&amp;IF(C358="",", City","")&amp;IF(E358="",", Postcode","")&amp;IF(F358="",", Licensing Authority","")&amp;IF(I358="",", Status","")&amp;IF(J358="",", Firm","")&amp;IF(K358="",", Client","")&amp;IF(M358="",", Date of Instruction","")&amp;IF(N358="",", Instruction Type","")&amp;IF(O358="",", Reinstruction","")&amp;IF(AND(I358="Allocated",Q358=""),", Investigator","")&amp;IF(AND(I358="Allocated",R358=""),", Date Assigned","")&amp;IF(AND(U358="Yes",V358=""),", Licence Check Notes",""),", ","",1))</f>
        <v/>
      </c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2">
        <f>IF(A359="","",IF(OR(A359="",B359="",C359="",E359="",F359="",I359="",J359="",K359="",M359="",N359="",O359="",AND(I359="Allocated",OR(Q359="",R359="")),AND(U359="Yes",V359="")),"Incomplete","Ready"))</f>
        <v/>
      </c>
      <c r="X359" s="23">
        <f>IF(W359&lt;&gt;"Incomplete","",SUBSTITUTE(IF(B359="",", Street Address","")&amp;IF(C359="",", City","")&amp;IF(E359="",", Postcode","")&amp;IF(F359="",", Licensing Authority","")&amp;IF(I359="",", Status","")&amp;IF(J359="",", Firm","")&amp;IF(K359="",", Client","")&amp;IF(M359="",", Date of Instruction","")&amp;IF(N359="",", Instruction Type","")&amp;IF(O359="",", Reinstruction","")&amp;IF(AND(I359="Allocated",Q359=""),", Investigator","")&amp;IF(AND(I359="Allocated",R359=""),", Date Assigned","")&amp;IF(AND(U359="Yes",V359=""),", Licence Check Notes",""),", ","",1))</f>
        <v/>
      </c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2">
        <f>IF(A360="","",IF(OR(A360="",B360="",C360="",E360="",F360="",I360="",J360="",K360="",M360="",N360="",O360="",AND(I360="Allocated",OR(Q360="",R360="")),AND(U360="Yes",V360="")),"Incomplete","Ready"))</f>
        <v/>
      </c>
      <c r="X360" s="23">
        <f>IF(W360&lt;&gt;"Incomplete","",SUBSTITUTE(IF(B360="",", Street Address","")&amp;IF(C360="",", City","")&amp;IF(E360="",", Postcode","")&amp;IF(F360="",", Licensing Authority","")&amp;IF(I360="",", Status","")&amp;IF(J360="",", Firm","")&amp;IF(K360="",", Client","")&amp;IF(M360="",", Date of Instruction","")&amp;IF(N360="",", Instruction Type","")&amp;IF(O360="",", Reinstruction","")&amp;IF(AND(I360="Allocated",Q360=""),", Investigator","")&amp;IF(AND(I360="Allocated",R360=""),", Date Assigned","")&amp;IF(AND(U360="Yes",V360=""),", Licence Check Notes",""),", ","",1))</f>
        <v/>
      </c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2">
        <f>IF(A361="","",IF(OR(A361="",B361="",C361="",E361="",F361="",I361="",J361="",K361="",M361="",N361="",O361="",AND(I361="Allocated",OR(Q361="",R361="")),AND(U361="Yes",V361="")),"Incomplete","Ready"))</f>
        <v/>
      </c>
      <c r="X361" s="23">
        <f>IF(W361&lt;&gt;"Incomplete","",SUBSTITUTE(IF(B361="",", Street Address","")&amp;IF(C361="",", City","")&amp;IF(E361="",", Postcode","")&amp;IF(F361="",", Licensing Authority","")&amp;IF(I361="",", Status","")&amp;IF(J361="",", Firm","")&amp;IF(K361="",", Client","")&amp;IF(M361="",", Date of Instruction","")&amp;IF(N361="",", Instruction Type","")&amp;IF(O361="",", Reinstruction","")&amp;IF(AND(I361="Allocated",Q361=""),", Investigator","")&amp;IF(AND(I361="Allocated",R361=""),", Date Assigned","")&amp;IF(AND(U361="Yes",V361=""),", Licence Check Notes",""),", ","",1))</f>
        <v/>
      </c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2">
        <f>IF(A362="","",IF(OR(A362="",B362="",C362="",E362="",F362="",I362="",J362="",K362="",M362="",N362="",O362="",AND(I362="Allocated",OR(Q362="",R362="")),AND(U362="Yes",V362="")),"Incomplete","Ready"))</f>
        <v/>
      </c>
      <c r="X362" s="23">
        <f>IF(W362&lt;&gt;"Incomplete","",SUBSTITUTE(IF(B362="",", Street Address","")&amp;IF(C362="",", City","")&amp;IF(E362="",", Postcode","")&amp;IF(F362="",", Licensing Authority","")&amp;IF(I362="",", Status","")&amp;IF(J362="",", Firm","")&amp;IF(K362="",", Client","")&amp;IF(M362="",", Date of Instruction","")&amp;IF(N362="",", Instruction Type","")&amp;IF(O362="",", Reinstruction","")&amp;IF(AND(I362="Allocated",Q362=""),", Investigator","")&amp;IF(AND(I362="Allocated",R362=""),", Date Assigned","")&amp;IF(AND(U362="Yes",V362=""),", Licence Check Notes",""),", ","",1))</f>
        <v/>
      </c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2">
        <f>IF(A363="","",IF(OR(A363="",B363="",C363="",E363="",F363="",I363="",J363="",K363="",M363="",N363="",O363="",AND(I363="Allocated",OR(Q363="",R363="")),AND(U363="Yes",V363="")),"Incomplete","Ready"))</f>
        <v/>
      </c>
      <c r="X363" s="23">
        <f>IF(W363&lt;&gt;"Incomplete","",SUBSTITUTE(IF(B363="",", Street Address","")&amp;IF(C363="",", City","")&amp;IF(E363="",", Postcode","")&amp;IF(F363="",", Licensing Authority","")&amp;IF(I363="",", Status","")&amp;IF(J363="",", Firm","")&amp;IF(K363="",", Client","")&amp;IF(M363="",", Date of Instruction","")&amp;IF(N363="",", Instruction Type","")&amp;IF(O363="",", Reinstruction","")&amp;IF(AND(I363="Allocated",Q363=""),", Investigator","")&amp;IF(AND(I363="Allocated",R363=""),", Date Assigned","")&amp;IF(AND(U363="Yes",V363=""),", Licence Check Notes",""),", ","",1))</f>
        <v/>
      </c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2">
        <f>IF(A364="","",IF(OR(A364="",B364="",C364="",E364="",F364="",I364="",J364="",K364="",M364="",N364="",O364="",AND(I364="Allocated",OR(Q364="",R364="")),AND(U364="Yes",V364="")),"Incomplete","Ready"))</f>
        <v/>
      </c>
      <c r="X364" s="23">
        <f>IF(W364&lt;&gt;"Incomplete","",SUBSTITUTE(IF(B364="",", Street Address","")&amp;IF(C364="",", City","")&amp;IF(E364="",", Postcode","")&amp;IF(F364="",", Licensing Authority","")&amp;IF(I364="",", Status","")&amp;IF(J364="",", Firm","")&amp;IF(K364="",", Client","")&amp;IF(M364="",", Date of Instruction","")&amp;IF(N364="",", Instruction Type","")&amp;IF(O364="",", Reinstruction","")&amp;IF(AND(I364="Allocated",Q364=""),", Investigator","")&amp;IF(AND(I364="Allocated",R364=""),", Date Assigned","")&amp;IF(AND(U364="Yes",V364=""),", Licence Check Notes",""),", ","",1))</f>
        <v/>
      </c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2">
        <f>IF(A365="","",IF(OR(A365="",B365="",C365="",E365="",F365="",I365="",J365="",K365="",M365="",N365="",O365="",AND(I365="Allocated",OR(Q365="",R365="")),AND(U365="Yes",V365="")),"Incomplete","Ready"))</f>
        <v/>
      </c>
      <c r="X365" s="23">
        <f>IF(W365&lt;&gt;"Incomplete","",SUBSTITUTE(IF(B365="",", Street Address","")&amp;IF(C365="",", City","")&amp;IF(E365="",", Postcode","")&amp;IF(F365="",", Licensing Authority","")&amp;IF(I365="",", Status","")&amp;IF(J365="",", Firm","")&amp;IF(K365="",", Client","")&amp;IF(M365="",", Date of Instruction","")&amp;IF(N365="",", Instruction Type","")&amp;IF(O365="",", Reinstruction","")&amp;IF(AND(I365="Allocated",Q365=""),", Investigator","")&amp;IF(AND(I365="Allocated",R365=""),", Date Assigned","")&amp;IF(AND(U365="Yes",V365=""),", Licence Check Notes",""),", ","",1))</f>
        <v/>
      </c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2">
        <f>IF(A366="","",IF(OR(A366="",B366="",C366="",E366="",F366="",I366="",J366="",K366="",M366="",N366="",O366="",AND(I366="Allocated",OR(Q366="",R366="")),AND(U366="Yes",V366="")),"Incomplete","Ready"))</f>
        <v/>
      </c>
      <c r="X366" s="23">
        <f>IF(W366&lt;&gt;"Incomplete","",SUBSTITUTE(IF(B366="",", Street Address","")&amp;IF(C366="",", City","")&amp;IF(E366="",", Postcode","")&amp;IF(F366="",", Licensing Authority","")&amp;IF(I366="",", Status","")&amp;IF(J366="",", Firm","")&amp;IF(K366="",", Client","")&amp;IF(M366="",", Date of Instruction","")&amp;IF(N366="",", Instruction Type","")&amp;IF(O366="",", Reinstruction","")&amp;IF(AND(I366="Allocated",Q366=""),", Investigator","")&amp;IF(AND(I366="Allocated",R366=""),", Date Assigned","")&amp;IF(AND(U366="Yes",V366=""),", Licence Check Notes",""),", ","",1))</f>
        <v/>
      </c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2">
        <f>IF(A367="","",IF(OR(A367="",B367="",C367="",E367="",F367="",I367="",J367="",K367="",M367="",N367="",O367="",AND(I367="Allocated",OR(Q367="",R367="")),AND(U367="Yes",V367="")),"Incomplete","Ready"))</f>
        <v/>
      </c>
      <c r="X367" s="23">
        <f>IF(W367&lt;&gt;"Incomplete","",SUBSTITUTE(IF(B367="",", Street Address","")&amp;IF(C367="",", City","")&amp;IF(E367="",", Postcode","")&amp;IF(F367="",", Licensing Authority","")&amp;IF(I367="",", Status","")&amp;IF(J367="",", Firm","")&amp;IF(K367="",", Client","")&amp;IF(M367="",", Date of Instruction","")&amp;IF(N367="",", Instruction Type","")&amp;IF(O367="",", Reinstruction","")&amp;IF(AND(I367="Allocated",Q367=""),", Investigator","")&amp;IF(AND(I367="Allocated",R367=""),", Date Assigned","")&amp;IF(AND(U367="Yes",V367=""),", Licence Check Notes",""),", ","",1))</f>
        <v/>
      </c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2">
        <f>IF(A368="","",IF(OR(A368="",B368="",C368="",E368="",F368="",I368="",J368="",K368="",M368="",N368="",O368="",AND(I368="Allocated",OR(Q368="",R368="")),AND(U368="Yes",V368="")),"Incomplete","Ready"))</f>
        <v/>
      </c>
      <c r="X368" s="23">
        <f>IF(W368&lt;&gt;"Incomplete","",SUBSTITUTE(IF(B368="",", Street Address","")&amp;IF(C368="",", City","")&amp;IF(E368="",", Postcode","")&amp;IF(F368="",", Licensing Authority","")&amp;IF(I368="",", Status","")&amp;IF(J368="",", Firm","")&amp;IF(K368="",", Client","")&amp;IF(M368="",", Date of Instruction","")&amp;IF(N368="",", Instruction Type","")&amp;IF(O368="",", Reinstruction","")&amp;IF(AND(I368="Allocated",Q368=""),", Investigator","")&amp;IF(AND(I368="Allocated",R368=""),", Date Assigned","")&amp;IF(AND(U368="Yes",V368=""),", Licence Check Notes",""),", ","",1))</f>
        <v/>
      </c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2">
        <f>IF(A369="","",IF(OR(A369="",B369="",C369="",E369="",F369="",I369="",J369="",K369="",M369="",N369="",O369="",AND(I369="Allocated",OR(Q369="",R369="")),AND(U369="Yes",V369="")),"Incomplete","Ready"))</f>
        <v/>
      </c>
      <c r="X369" s="23">
        <f>IF(W369&lt;&gt;"Incomplete","",SUBSTITUTE(IF(B369="",", Street Address","")&amp;IF(C369="",", City","")&amp;IF(E369="",", Postcode","")&amp;IF(F369="",", Licensing Authority","")&amp;IF(I369="",", Status","")&amp;IF(J369="",", Firm","")&amp;IF(K369="",", Client","")&amp;IF(M369="",", Date of Instruction","")&amp;IF(N369="",", Instruction Type","")&amp;IF(O369="",", Reinstruction","")&amp;IF(AND(I369="Allocated",Q369=""),", Investigator","")&amp;IF(AND(I369="Allocated",R369=""),", Date Assigned","")&amp;IF(AND(U369="Yes",V369=""),", Licence Check Notes",""),", ","",1))</f>
        <v/>
      </c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2">
        <f>IF(A370="","",IF(OR(A370="",B370="",C370="",E370="",F370="",I370="",J370="",K370="",M370="",N370="",O370="",AND(I370="Allocated",OR(Q370="",R370="")),AND(U370="Yes",V370="")),"Incomplete","Ready"))</f>
        <v/>
      </c>
      <c r="X370" s="23">
        <f>IF(W370&lt;&gt;"Incomplete","",SUBSTITUTE(IF(B370="",", Street Address","")&amp;IF(C370="",", City","")&amp;IF(E370="",", Postcode","")&amp;IF(F370="",", Licensing Authority","")&amp;IF(I370="",", Status","")&amp;IF(J370="",", Firm","")&amp;IF(K370="",", Client","")&amp;IF(M370="",", Date of Instruction","")&amp;IF(N370="",", Instruction Type","")&amp;IF(O370="",", Reinstruction","")&amp;IF(AND(I370="Allocated",Q370=""),", Investigator","")&amp;IF(AND(I370="Allocated",R370=""),", Date Assigned","")&amp;IF(AND(U370="Yes",V370=""),", Licence Check Notes",""),", ","",1))</f>
        <v/>
      </c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2">
        <f>IF(A371="","",IF(OR(A371="",B371="",C371="",E371="",F371="",I371="",J371="",K371="",M371="",N371="",O371="",AND(I371="Allocated",OR(Q371="",R371="")),AND(U371="Yes",V371="")),"Incomplete","Ready"))</f>
        <v/>
      </c>
      <c r="X371" s="23">
        <f>IF(W371&lt;&gt;"Incomplete","",SUBSTITUTE(IF(B371="",", Street Address","")&amp;IF(C371="",", City","")&amp;IF(E371="",", Postcode","")&amp;IF(F371="",", Licensing Authority","")&amp;IF(I371="",", Status","")&amp;IF(J371="",", Firm","")&amp;IF(K371="",", Client","")&amp;IF(M371="",", Date of Instruction","")&amp;IF(N371="",", Instruction Type","")&amp;IF(O371="",", Reinstruction","")&amp;IF(AND(I371="Allocated",Q371=""),", Investigator","")&amp;IF(AND(I371="Allocated",R371=""),", Date Assigned","")&amp;IF(AND(U371="Yes",V371=""),", Licence Check Notes",""),", ","",1))</f>
        <v/>
      </c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2">
        <f>IF(A372="","",IF(OR(A372="",B372="",C372="",E372="",F372="",I372="",J372="",K372="",M372="",N372="",O372="",AND(I372="Allocated",OR(Q372="",R372="")),AND(U372="Yes",V372="")),"Incomplete","Ready"))</f>
        <v/>
      </c>
      <c r="X372" s="23">
        <f>IF(W372&lt;&gt;"Incomplete","",SUBSTITUTE(IF(B372="",", Street Address","")&amp;IF(C372="",", City","")&amp;IF(E372="",", Postcode","")&amp;IF(F372="",", Licensing Authority","")&amp;IF(I372="",", Status","")&amp;IF(J372="",", Firm","")&amp;IF(K372="",", Client","")&amp;IF(M372="",", Date of Instruction","")&amp;IF(N372="",", Instruction Type","")&amp;IF(O372="",", Reinstruction","")&amp;IF(AND(I372="Allocated",Q372=""),", Investigator","")&amp;IF(AND(I372="Allocated",R372=""),", Date Assigned","")&amp;IF(AND(U372="Yes",V372=""),", Licence Check Notes",""),", ","",1))</f>
        <v/>
      </c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2">
        <f>IF(A373="","",IF(OR(A373="",B373="",C373="",E373="",F373="",I373="",J373="",K373="",M373="",N373="",O373="",AND(I373="Allocated",OR(Q373="",R373="")),AND(U373="Yes",V373="")),"Incomplete","Ready"))</f>
        <v/>
      </c>
      <c r="X373" s="23">
        <f>IF(W373&lt;&gt;"Incomplete","",SUBSTITUTE(IF(B373="",", Street Address","")&amp;IF(C373="",", City","")&amp;IF(E373="",", Postcode","")&amp;IF(F373="",", Licensing Authority","")&amp;IF(I373="",", Status","")&amp;IF(J373="",", Firm","")&amp;IF(K373="",", Client","")&amp;IF(M373="",", Date of Instruction","")&amp;IF(N373="",", Instruction Type","")&amp;IF(O373="",", Reinstruction","")&amp;IF(AND(I373="Allocated",Q373=""),", Investigator","")&amp;IF(AND(I373="Allocated",R373=""),", Date Assigned","")&amp;IF(AND(U373="Yes",V373=""),", Licence Check Notes",""),", ","",1))</f>
        <v/>
      </c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2">
        <f>IF(A374="","",IF(OR(A374="",B374="",C374="",E374="",F374="",I374="",J374="",K374="",M374="",N374="",O374="",AND(I374="Allocated",OR(Q374="",R374="")),AND(U374="Yes",V374="")),"Incomplete","Ready"))</f>
        <v/>
      </c>
      <c r="X374" s="23">
        <f>IF(W374&lt;&gt;"Incomplete","",SUBSTITUTE(IF(B374="",", Street Address","")&amp;IF(C374="",", City","")&amp;IF(E374="",", Postcode","")&amp;IF(F374="",", Licensing Authority","")&amp;IF(I374="",", Status","")&amp;IF(J374="",", Firm","")&amp;IF(K374="",", Client","")&amp;IF(M374="",", Date of Instruction","")&amp;IF(N374="",", Instruction Type","")&amp;IF(O374="",", Reinstruction","")&amp;IF(AND(I374="Allocated",Q374=""),", Investigator","")&amp;IF(AND(I374="Allocated",R374=""),", Date Assigned","")&amp;IF(AND(U374="Yes",V374=""),", Licence Check Notes",""),", ","",1))</f>
        <v/>
      </c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2">
        <f>IF(A375="","",IF(OR(A375="",B375="",C375="",E375="",F375="",I375="",J375="",K375="",M375="",N375="",O375="",AND(I375="Allocated",OR(Q375="",R375="")),AND(U375="Yes",V375="")),"Incomplete","Ready"))</f>
        <v/>
      </c>
      <c r="X375" s="23">
        <f>IF(W375&lt;&gt;"Incomplete","",SUBSTITUTE(IF(B375="",", Street Address","")&amp;IF(C375="",", City","")&amp;IF(E375="",", Postcode","")&amp;IF(F375="",", Licensing Authority","")&amp;IF(I375="",", Status","")&amp;IF(J375="",", Firm","")&amp;IF(K375="",", Client","")&amp;IF(M375="",", Date of Instruction","")&amp;IF(N375="",", Instruction Type","")&amp;IF(O375="",", Reinstruction","")&amp;IF(AND(I375="Allocated",Q375=""),", Investigator","")&amp;IF(AND(I375="Allocated",R375=""),", Date Assigned","")&amp;IF(AND(U375="Yes",V375=""),", Licence Check Notes",""),", ","",1))</f>
        <v/>
      </c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2">
        <f>IF(A376="","",IF(OR(A376="",B376="",C376="",E376="",F376="",I376="",J376="",K376="",M376="",N376="",O376="",AND(I376="Allocated",OR(Q376="",R376="")),AND(U376="Yes",V376="")),"Incomplete","Ready"))</f>
        <v/>
      </c>
      <c r="X376" s="23">
        <f>IF(W376&lt;&gt;"Incomplete","",SUBSTITUTE(IF(B376="",", Street Address","")&amp;IF(C376="",", City","")&amp;IF(E376="",", Postcode","")&amp;IF(F376="",", Licensing Authority","")&amp;IF(I376="",", Status","")&amp;IF(J376="",", Firm","")&amp;IF(K376="",", Client","")&amp;IF(M376="",", Date of Instruction","")&amp;IF(N376="",", Instruction Type","")&amp;IF(O376="",", Reinstruction","")&amp;IF(AND(I376="Allocated",Q376=""),", Investigator","")&amp;IF(AND(I376="Allocated",R376=""),", Date Assigned","")&amp;IF(AND(U376="Yes",V376=""),", Licence Check Notes",""),", ","",1))</f>
        <v/>
      </c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2">
        <f>IF(A377="","",IF(OR(A377="",B377="",C377="",E377="",F377="",I377="",J377="",K377="",M377="",N377="",O377="",AND(I377="Allocated",OR(Q377="",R377="")),AND(U377="Yes",V377="")),"Incomplete","Ready"))</f>
        <v/>
      </c>
      <c r="X377" s="23">
        <f>IF(W377&lt;&gt;"Incomplete","",SUBSTITUTE(IF(B377="",", Street Address","")&amp;IF(C377="",", City","")&amp;IF(E377="",", Postcode","")&amp;IF(F377="",", Licensing Authority","")&amp;IF(I377="",", Status","")&amp;IF(J377="",", Firm","")&amp;IF(K377="",", Client","")&amp;IF(M377="",", Date of Instruction","")&amp;IF(N377="",", Instruction Type","")&amp;IF(O377="",", Reinstruction","")&amp;IF(AND(I377="Allocated",Q377=""),", Investigator","")&amp;IF(AND(I377="Allocated",R377=""),", Date Assigned","")&amp;IF(AND(U377="Yes",V377=""),", Licence Check Notes",""),", ","",1))</f>
        <v/>
      </c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2">
        <f>IF(A378="","",IF(OR(A378="",B378="",C378="",E378="",F378="",I378="",J378="",K378="",M378="",N378="",O378="",AND(I378="Allocated",OR(Q378="",R378="")),AND(U378="Yes",V378="")),"Incomplete","Ready"))</f>
        <v/>
      </c>
      <c r="X378" s="23">
        <f>IF(W378&lt;&gt;"Incomplete","",SUBSTITUTE(IF(B378="",", Street Address","")&amp;IF(C378="",", City","")&amp;IF(E378="",", Postcode","")&amp;IF(F378="",", Licensing Authority","")&amp;IF(I378="",", Status","")&amp;IF(J378="",", Firm","")&amp;IF(K378="",", Client","")&amp;IF(M378="",", Date of Instruction","")&amp;IF(N378="",", Instruction Type","")&amp;IF(O378="",", Reinstruction","")&amp;IF(AND(I378="Allocated",Q378=""),", Investigator","")&amp;IF(AND(I378="Allocated",R378=""),", Date Assigned","")&amp;IF(AND(U378="Yes",V378=""),", Licence Check Notes",""),", ","",1))</f>
        <v/>
      </c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2">
        <f>IF(A379="","",IF(OR(A379="",B379="",C379="",E379="",F379="",I379="",J379="",K379="",M379="",N379="",O379="",AND(I379="Allocated",OR(Q379="",R379="")),AND(U379="Yes",V379="")),"Incomplete","Ready"))</f>
        <v/>
      </c>
      <c r="X379" s="23">
        <f>IF(W379&lt;&gt;"Incomplete","",SUBSTITUTE(IF(B379="",", Street Address","")&amp;IF(C379="",", City","")&amp;IF(E379="",", Postcode","")&amp;IF(F379="",", Licensing Authority","")&amp;IF(I379="",", Status","")&amp;IF(J379="",", Firm","")&amp;IF(K379="",", Client","")&amp;IF(M379="",", Date of Instruction","")&amp;IF(N379="",", Instruction Type","")&amp;IF(O379="",", Reinstruction","")&amp;IF(AND(I379="Allocated",Q379=""),", Investigator","")&amp;IF(AND(I379="Allocated",R379=""),", Date Assigned","")&amp;IF(AND(U379="Yes",V379=""),", Licence Check Notes",""),", ","",1))</f>
        <v/>
      </c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2">
        <f>IF(A380="","",IF(OR(A380="",B380="",C380="",E380="",F380="",I380="",J380="",K380="",M380="",N380="",O380="",AND(I380="Allocated",OR(Q380="",R380="")),AND(U380="Yes",V380="")),"Incomplete","Ready"))</f>
        <v/>
      </c>
      <c r="X380" s="23">
        <f>IF(W380&lt;&gt;"Incomplete","",SUBSTITUTE(IF(B380="",", Street Address","")&amp;IF(C380="",", City","")&amp;IF(E380="",", Postcode","")&amp;IF(F380="",", Licensing Authority","")&amp;IF(I380="",", Status","")&amp;IF(J380="",", Firm","")&amp;IF(K380="",", Client","")&amp;IF(M380="",", Date of Instruction","")&amp;IF(N380="",", Instruction Type","")&amp;IF(O380="",", Reinstruction","")&amp;IF(AND(I380="Allocated",Q380=""),", Investigator","")&amp;IF(AND(I380="Allocated",R380=""),", Date Assigned","")&amp;IF(AND(U380="Yes",V380=""),", Licence Check Notes",""),", ","",1))</f>
        <v/>
      </c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2">
        <f>IF(A381="","",IF(OR(A381="",B381="",C381="",E381="",F381="",I381="",J381="",K381="",M381="",N381="",O381="",AND(I381="Allocated",OR(Q381="",R381="")),AND(U381="Yes",V381="")),"Incomplete","Ready"))</f>
        <v/>
      </c>
      <c r="X381" s="23">
        <f>IF(W381&lt;&gt;"Incomplete","",SUBSTITUTE(IF(B381="",", Street Address","")&amp;IF(C381="",", City","")&amp;IF(E381="",", Postcode","")&amp;IF(F381="",", Licensing Authority","")&amp;IF(I381="",", Status","")&amp;IF(J381="",", Firm","")&amp;IF(K381="",", Client","")&amp;IF(M381="",", Date of Instruction","")&amp;IF(N381="",", Instruction Type","")&amp;IF(O381="",", Reinstruction","")&amp;IF(AND(I381="Allocated",Q381=""),", Investigator","")&amp;IF(AND(I381="Allocated",R381=""),", Date Assigned","")&amp;IF(AND(U381="Yes",V381=""),", Licence Check Notes",""),", ","",1))</f>
        <v/>
      </c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2">
        <f>IF(A382="","",IF(OR(A382="",B382="",C382="",E382="",F382="",I382="",J382="",K382="",M382="",N382="",O382="",AND(I382="Allocated",OR(Q382="",R382="")),AND(U382="Yes",V382="")),"Incomplete","Ready"))</f>
        <v/>
      </c>
      <c r="X382" s="23">
        <f>IF(W382&lt;&gt;"Incomplete","",SUBSTITUTE(IF(B382="",", Street Address","")&amp;IF(C382="",", City","")&amp;IF(E382="",", Postcode","")&amp;IF(F382="",", Licensing Authority","")&amp;IF(I382="",", Status","")&amp;IF(J382="",", Firm","")&amp;IF(K382="",", Client","")&amp;IF(M382="",", Date of Instruction","")&amp;IF(N382="",", Instruction Type","")&amp;IF(O382="",", Reinstruction","")&amp;IF(AND(I382="Allocated",Q382=""),", Investigator","")&amp;IF(AND(I382="Allocated",R382=""),", Date Assigned","")&amp;IF(AND(U382="Yes",V382=""),", Licence Check Notes",""),", ","",1))</f>
        <v/>
      </c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2">
        <f>IF(A383="","",IF(OR(A383="",B383="",C383="",E383="",F383="",I383="",J383="",K383="",M383="",N383="",O383="",AND(I383="Allocated",OR(Q383="",R383="")),AND(U383="Yes",V383="")),"Incomplete","Ready"))</f>
        <v/>
      </c>
      <c r="X383" s="23">
        <f>IF(W383&lt;&gt;"Incomplete","",SUBSTITUTE(IF(B383="",", Street Address","")&amp;IF(C383="",", City","")&amp;IF(E383="",", Postcode","")&amp;IF(F383="",", Licensing Authority","")&amp;IF(I383="",", Status","")&amp;IF(J383="",", Firm","")&amp;IF(K383="",", Client","")&amp;IF(M383="",", Date of Instruction","")&amp;IF(N383="",", Instruction Type","")&amp;IF(O383="",", Reinstruction","")&amp;IF(AND(I383="Allocated",Q383=""),", Investigator","")&amp;IF(AND(I383="Allocated",R383=""),", Date Assigned","")&amp;IF(AND(U383="Yes",V383=""),", Licence Check Notes",""),", ","",1))</f>
        <v/>
      </c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2">
        <f>IF(A384="","",IF(OR(A384="",B384="",C384="",E384="",F384="",I384="",J384="",K384="",M384="",N384="",O384="",AND(I384="Allocated",OR(Q384="",R384="")),AND(U384="Yes",V384="")),"Incomplete","Ready"))</f>
        <v/>
      </c>
      <c r="X384" s="23">
        <f>IF(W384&lt;&gt;"Incomplete","",SUBSTITUTE(IF(B384="",", Street Address","")&amp;IF(C384="",", City","")&amp;IF(E384="",", Postcode","")&amp;IF(F384="",", Licensing Authority","")&amp;IF(I384="",", Status","")&amp;IF(J384="",", Firm","")&amp;IF(K384="",", Client","")&amp;IF(M384="",", Date of Instruction","")&amp;IF(N384="",", Instruction Type","")&amp;IF(O384="",", Reinstruction","")&amp;IF(AND(I384="Allocated",Q384=""),", Investigator","")&amp;IF(AND(I384="Allocated",R384=""),", Date Assigned","")&amp;IF(AND(U384="Yes",V384=""),", Licence Check Notes",""),", ","",1))</f>
        <v/>
      </c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2">
        <f>IF(A385="","",IF(OR(A385="",B385="",C385="",E385="",F385="",I385="",J385="",K385="",M385="",N385="",O385="",AND(I385="Allocated",OR(Q385="",R385="")),AND(U385="Yes",V385="")),"Incomplete","Ready"))</f>
        <v/>
      </c>
      <c r="X385" s="23">
        <f>IF(W385&lt;&gt;"Incomplete","",SUBSTITUTE(IF(B385="",", Street Address","")&amp;IF(C385="",", City","")&amp;IF(E385="",", Postcode","")&amp;IF(F385="",", Licensing Authority","")&amp;IF(I385="",", Status","")&amp;IF(J385="",", Firm","")&amp;IF(K385="",", Client","")&amp;IF(M385="",", Date of Instruction","")&amp;IF(N385="",", Instruction Type","")&amp;IF(O385="",", Reinstruction","")&amp;IF(AND(I385="Allocated",Q385=""),", Investigator","")&amp;IF(AND(I385="Allocated",R385=""),", Date Assigned","")&amp;IF(AND(U385="Yes",V385=""),", Licence Check Notes",""),", ","",1))</f>
        <v/>
      </c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2">
        <f>IF(A386="","",IF(OR(A386="",B386="",C386="",E386="",F386="",I386="",J386="",K386="",M386="",N386="",O386="",AND(I386="Allocated",OR(Q386="",R386="")),AND(U386="Yes",V386="")),"Incomplete","Ready"))</f>
        <v/>
      </c>
      <c r="X386" s="23">
        <f>IF(W386&lt;&gt;"Incomplete","",SUBSTITUTE(IF(B386="",", Street Address","")&amp;IF(C386="",", City","")&amp;IF(E386="",", Postcode","")&amp;IF(F386="",", Licensing Authority","")&amp;IF(I386="",", Status","")&amp;IF(J386="",", Firm","")&amp;IF(K386="",", Client","")&amp;IF(M386="",", Date of Instruction","")&amp;IF(N386="",", Instruction Type","")&amp;IF(O386="",", Reinstruction","")&amp;IF(AND(I386="Allocated",Q386=""),", Investigator","")&amp;IF(AND(I386="Allocated",R386=""),", Date Assigned","")&amp;IF(AND(U386="Yes",V386=""),", Licence Check Notes",""),", ","",1))</f>
        <v/>
      </c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2">
        <f>IF(A387="","",IF(OR(A387="",B387="",C387="",E387="",F387="",I387="",J387="",K387="",M387="",N387="",O387="",AND(I387="Allocated",OR(Q387="",R387="")),AND(U387="Yes",V387="")),"Incomplete","Ready"))</f>
        <v/>
      </c>
      <c r="X387" s="23">
        <f>IF(W387&lt;&gt;"Incomplete","",SUBSTITUTE(IF(B387="",", Street Address","")&amp;IF(C387="",", City","")&amp;IF(E387="",", Postcode","")&amp;IF(F387="",", Licensing Authority","")&amp;IF(I387="",", Status","")&amp;IF(J387="",", Firm","")&amp;IF(K387="",", Client","")&amp;IF(M387="",", Date of Instruction","")&amp;IF(N387="",", Instruction Type","")&amp;IF(O387="",", Reinstruction","")&amp;IF(AND(I387="Allocated",Q387=""),", Investigator","")&amp;IF(AND(I387="Allocated",R387=""),", Date Assigned","")&amp;IF(AND(U387="Yes",V387=""),", Licence Check Notes",""),", ","",1))</f>
        <v/>
      </c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2">
        <f>IF(A388="","",IF(OR(A388="",B388="",C388="",E388="",F388="",I388="",J388="",K388="",M388="",N388="",O388="",AND(I388="Allocated",OR(Q388="",R388="")),AND(U388="Yes",V388="")),"Incomplete","Ready"))</f>
        <v/>
      </c>
      <c r="X388" s="23">
        <f>IF(W388&lt;&gt;"Incomplete","",SUBSTITUTE(IF(B388="",", Street Address","")&amp;IF(C388="",", City","")&amp;IF(E388="",", Postcode","")&amp;IF(F388="",", Licensing Authority","")&amp;IF(I388="",", Status","")&amp;IF(J388="",", Firm","")&amp;IF(K388="",", Client","")&amp;IF(M388="",", Date of Instruction","")&amp;IF(N388="",", Instruction Type","")&amp;IF(O388="",", Reinstruction","")&amp;IF(AND(I388="Allocated",Q388=""),", Investigator","")&amp;IF(AND(I388="Allocated",R388=""),", Date Assigned","")&amp;IF(AND(U388="Yes",V388=""),", Licence Check Notes",""),", ","",1))</f>
        <v/>
      </c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2">
        <f>IF(A389="","",IF(OR(A389="",B389="",C389="",E389="",F389="",I389="",J389="",K389="",M389="",N389="",O389="",AND(I389="Allocated",OR(Q389="",R389="")),AND(U389="Yes",V389="")),"Incomplete","Ready"))</f>
        <v/>
      </c>
      <c r="X389" s="23">
        <f>IF(W389&lt;&gt;"Incomplete","",SUBSTITUTE(IF(B389="",", Street Address","")&amp;IF(C389="",", City","")&amp;IF(E389="",", Postcode","")&amp;IF(F389="",", Licensing Authority","")&amp;IF(I389="",", Status","")&amp;IF(J389="",", Firm","")&amp;IF(K389="",", Client","")&amp;IF(M389="",", Date of Instruction","")&amp;IF(N389="",", Instruction Type","")&amp;IF(O389="",", Reinstruction","")&amp;IF(AND(I389="Allocated",Q389=""),", Investigator","")&amp;IF(AND(I389="Allocated",R389=""),", Date Assigned","")&amp;IF(AND(U389="Yes",V389=""),", Licence Check Notes",""),", ","",1))</f>
        <v/>
      </c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2">
        <f>IF(A390="","",IF(OR(A390="",B390="",C390="",E390="",F390="",I390="",J390="",K390="",M390="",N390="",O390="",AND(I390="Allocated",OR(Q390="",R390="")),AND(U390="Yes",V390="")),"Incomplete","Ready"))</f>
        <v/>
      </c>
      <c r="X390" s="23">
        <f>IF(W390&lt;&gt;"Incomplete","",SUBSTITUTE(IF(B390="",", Street Address","")&amp;IF(C390="",", City","")&amp;IF(E390="",", Postcode","")&amp;IF(F390="",", Licensing Authority","")&amp;IF(I390="",", Status","")&amp;IF(J390="",", Firm","")&amp;IF(K390="",", Client","")&amp;IF(M390="",", Date of Instruction","")&amp;IF(N390="",", Instruction Type","")&amp;IF(O390="",", Reinstruction","")&amp;IF(AND(I390="Allocated",Q390=""),", Investigator","")&amp;IF(AND(I390="Allocated",R390=""),", Date Assigned","")&amp;IF(AND(U390="Yes",V390=""),", Licence Check Notes",""),", ","",1))</f>
        <v/>
      </c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2">
        <f>IF(A391="","",IF(OR(A391="",B391="",C391="",E391="",F391="",I391="",J391="",K391="",M391="",N391="",O391="",AND(I391="Allocated",OR(Q391="",R391="")),AND(U391="Yes",V391="")),"Incomplete","Ready"))</f>
        <v/>
      </c>
      <c r="X391" s="23">
        <f>IF(W391&lt;&gt;"Incomplete","",SUBSTITUTE(IF(B391="",", Street Address","")&amp;IF(C391="",", City","")&amp;IF(E391="",", Postcode","")&amp;IF(F391="",", Licensing Authority","")&amp;IF(I391="",", Status","")&amp;IF(J391="",", Firm","")&amp;IF(K391="",", Client","")&amp;IF(M391="",", Date of Instruction","")&amp;IF(N391="",", Instruction Type","")&amp;IF(O391="",", Reinstruction","")&amp;IF(AND(I391="Allocated",Q391=""),", Investigator","")&amp;IF(AND(I391="Allocated",R391=""),", Date Assigned","")&amp;IF(AND(U391="Yes",V391=""),", Licence Check Notes",""),", ","",1))</f>
        <v/>
      </c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2">
        <f>IF(A392="","",IF(OR(A392="",B392="",C392="",E392="",F392="",I392="",J392="",K392="",M392="",N392="",O392="",AND(I392="Allocated",OR(Q392="",R392="")),AND(U392="Yes",V392="")),"Incomplete","Ready"))</f>
        <v/>
      </c>
      <c r="X392" s="23">
        <f>IF(W392&lt;&gt;"Incomplete","",SUBSTITUTE(IF(B392="",", Street Address","")&amp;IF(C392="",", City","")&amp;IF(E392="",", Postcode","")&amp;IF(F392="",", Licensing Authority","")&amp;IF(I392="",", Status","")&amp;IF(J392="",", Firm","")&amp;IF(K392="",", Client","")&amp;IF(M392="",", Date of Instruction","")&amp;IF(N392="",", Instruction Type","")&amp;IF(O392="",", Reinstruction","")&amp;IF(AND(I392="Allocated",Q392=""),", Investigator","")&amp;IF(AND(I392="Allocated",R392=""),", Date Assigned","")&amp;IF(AND(U392="Yes",V392=""),", Licence Check Notes",""),", ","",1))</f>
        <v/>
      </c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2">
        <f>IF(A393="","",IF(OR(A393="",B393="",C393="",E393="",F393="",I393="",J393="",K393="",M393="",N393="",O393="",AND(I393="Allocated",OR(Q393="",R393="")),AND(U393="Yes",V393="")),"Incomplete","Ready"))</f>
        <v/>
      </c>
      <c r="X393" s="23">
        <f>IF(W393&lt;&gt;"Incomplete","",SUBSTITUTE(IF(B393="",", Street Address","")&amp;IF(C393="",", City","")&amp;IF(E393="",", Postcode","")&amp;IF(F393="",", Licensing Authority","")&amp;IF(I393="",", Status","")&amp;IF(J393="",", Firm","")&amp;IF(K393="",", Client","")&amp;IF(M393="",", Date of Instruction","")&amp;IF(N393="",", Instruction Type","")&amp;IF(O393="",", Reinstruction","")&amp;IF(AND(I393="Allocated",Q393=""),", Investigator","")&amp;IF(AND(I393="Allocated",R393=""),", Date Assigned","")&amp;IF(AND(U393="Yes",V393=""),", Licence Check Notes",""),", ","",1))</f>
        <v/>
      </c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2">
        <f>IF(A394="","",IF(OR(A394="",B394="",C394="",E394="",F394="",I394="",J394="",K394="",M394="",N394="",O394="",AND(I394="Allocated",OR(Q394="",R394="")),AND(U394="Yes",V394="")),"Incomplete","Ready"))</f>
        <v/>
      </c>
      <c r="X394" s="23">
        <f>IF(W394&lt;&gt;"Incomplete","",SUBSTITUTE(IF(B394="",", Street Address","")&amp;IF(C394="",", City","")&amp;IF(E394="",", Postcode","")&amp;IF(F394="",", Licensing Authority","")&amp;IF(I394="",", Status","")&amp;IF(J394="",", Firm","")&amp;IF(K394="",", Client","")&amp;IF(M394="",", Date of Instruction","")&amp;IF(N394="",", Instruction Type","")&amp;IF(O394="",", Reinstruction","")&amp;IF(AND(I394="Allocated",Q394=""),", Investigator","")&amp;IF(AND(I394="Allocated",R394=""),", Date Assigned","")&amp;IF(AND(U394="Yes",V394=""),", Licence Check Notes",""),", ","",1))</f>
        <v/>
      </c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2">
        <f>IF(A395="","",IF(OR(A395="",B395="",C395="",E395="",F395="",I395="",J395="",K395="",M395="",N395="",O395="",AND(I395="Allocated",OR(Q395="",R395="")),AND(U395="Yes",V395="")),"Incomplete","Ready"))</f>
        <v/>
      </c>
      <c r="X395" s="23">
        <f>IF(W395&lt;&gt;"Incomplete","",SUBSTITUTE(IF(B395="",", Street Address","")&amp;IF(C395="",", City","")&amp;IF(E395="",", Postcode","")&amp;IF(F395="",", Licensing Authority","")&amp;IF(I395="",", Status","")&amp;IF(J395="",", Firm","")&amp;IF(K395="",", Client","")&amp;IF(M395="",", Date of Instruction","")&amp;IF(N395="",", Instruction Type","")&amp;IF(O395="",", Reinstruction","")&amp;IF(AND(I395="Allocated",Q395=""),", Investigator","")&amp;IF(AND(I395="Allocated",R395=""),", Date Assigned","")&amp;IF(AND(U395="Yes",V395=""),", Licence Check Notes",""),", ","",1))</f>
        <v/>
      </c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2">
        <f>IF(A396="","",IF(OR(A396="",B396="",C396="",E396="",F396="",I396="",J396="",K396="",M396="",N396="",O396="",AND(I396="Allocated",OR(Q396="",R396="")),AND(U396="Yes",V396="")),"Incomplete","Ready"))</f>
        <v/>
      </c>
      <c r="X396" s="23">
        <f>IF(W396&lt;&gt;"Incomplete","",SUBSTITUTE(IF(B396="",", Street Address","")&amp;IF(C396="",", City","")&amp;IF(E396="",", Postcode","")&amp;IF(F396="",", Licensing Authority","")&amp;IF(I396="",", Status","")&amp;IF(J396="",", Firm","")&amp;IF(K396="",", Client","")&amp;IF(M396="",", Date of Instruction","")&amp;IF(N396="",", Instruction Type","")&amp;IF(O396="",", Reinstruction","")&amp;IF(AND(I396="Allocated",Q396=""),", Investigator","")&amp;IF(AND(I396="Allocated",R396=""),", Date Assigned","")&amp;IF(AND(U396="Yes",V396=""),", Licence Check Notes",""),", ","",1))</f>
        <v/>
      </c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2">
        <f>IF(A397="","",IF(OR(A397="",B397="",C397="",E397="",F397="",I397="",J397="",K397="",M397="",N397="",O397="",AND(I397="Allocated",OR(Q397="",R397="")),AND(U397="Yes",V397="")),"Incomplete","Ready"))</f>
        <v/>
      </c>
      <c r="X397" s="23">
        <f>IF(W397&lt;&gt;"Incomplete","",SUBSTITUTE(IF(B397="",", Street Address","")&amp;IF(C397="",", City","")&amp;IF(E397="",", Postcode","")&amp;IF(F397="",", Licensing Authority","")&amp;IF(I397="",", Status","")&amp;IF(J397="",", Firm","")&amp;IF(K397="",", Client","")&amp;IF(M397="",", Date of Instruction","")&amp;IF(N397="",", Instruction Type","")&amp;IF(O397="",", Reinstruction","")&amp;IF(AND(I397="Allocated",Q397=""),", Investigator","")&amp;IF(AND(I397="Allocated",R397=""),", Date Assigned","")&amp;IF(AND(U397="Yes",V397=""),", Licence Check Notes",""),", ","",1))</f>
        <v/>
      </c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2">
        <f>IF(A398="","",IF(OR(A398="",B398="",C398="",E398="",F398="",I398="",J398="",K398="",M398="",N398="",O398="",AND(I398="Allocated",OR(Q398="",R398="")),AND(U398="Yes",V398="")),"Incomplete","Ready"))</f>
        <v/>
      </c>
      <c r="X398" s="23">
        <f>IF(W398&lt;&gt;"Incomplete","",SUBSTITUTE(IF(B398="",", Street Address","")&amp;IF(C398="",", City","")&amp;IF(E398="",", Postcode","")&amp;IF(F398="",", Licensing Authority","")&amp;IF(I398="",", Status","")&amp;IF(J398="",", Firm","")&amp;IF(K398="",", Client","")&amp;IF(M398="",", Date of Instruction","")&amp;IF(N398="",", Instruction Type","")&amp;IF(O398="",", Reinstruction","")&amp;IF(AND(I398="Allocated",Q398=""),", Investigator","")&amp;IF(AND(I398="Allocated",R398=""),", Date Assigned","")&amp;IF(AND(U398="Yes",V398=""),", Licence Check Notes",""),", ","",1))</f>
        <v/>
      </c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2">
        <f>IF(A399="","",IF(OR(A399="",B399="",C399="",E399="",F399="",I399="",J399="",K399="",M399="",N399="",O399="",AND(I399="Allocated",OR(Q399="",R399="")),AND(U399="Yes",V399="")),"Incomplete","Ready"))</f>
        <v/>
      </c>
      <c r="X399" s="23">
        <f>IF(W399&lt;&gt;"Incomplete","",SUBSTITUTE(IF(B399="",", Street Address","")&amp;IF(C399="",", City","")&amp;IF(E399="",", Postcode","")&amp;IF(F399="",", Licensing Authority","")&amp;IF(I399="",", Status","")&amp;IF(J399="",", Firm","")&amp;IF(K399="",", Client","")&amp;IF(M399="",", Date of Instruction","")&amp;IF(N399="",", Instruction Type","")&amp;IF(O399="",", Reinstruction","")&amp;IF(AND(I399="Allocated",Q399=""),", Investigator","")&amp;IF(AND(I399="Allocated",R399=""),", Date Assigned","")&amp;IF(AND(U399="Yes",V399=""),", Licence Check Notes",""),", ","",1))</f>
        <v/>
      </c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2">
        <f>IF(A400="","",IF(OR(A400="",B400="",C400="",E400="",F400="",I400="",J400="",K400="",M400="",N400="",O400="",AND(I400="Allocated",OR(Q400="",R400="")),AND(U400="Yes",V400="")),"Incomplete","Ready"))</f>
        <v/>
      </c>
      <c r="X400" s="23">
        <f>IF(W400&lt;&gt;"Incomplete","",SUBSTITUTE(IF(B400="",", Street Address","")&amp;IF(C400="",", City","")&amp;IF(E400="",", Postcode","")&amp;IF(F400="",", Licensing Authority","")&amp;IF(I400="",", Status","")&amp;IF(J400="",", Firm","")&amp;IF(K400="",", Client","")&amp;IF(M400="",", Date of Instruction","")&amp;IF(N400="",", Instruction Type","")&amp;IF(O400="",", Reinstruction","")&amp;IF(AND(I400="Allocated",Q400=""),", Investigator","")&amp;IF(AND(I400="Allocated",R400=""),", Date Assigned","")&amp;IF(AND(U400="Yes",V400=""),", Licence Check Notes",""),", ","",1))</f>
        <v/>
      </c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2">
        <f>IF(A401="","",IF(OR(A401="",B401="",C401="",E401="",F401="",I401="",J401="",K401="",M401="",N401="",O401="",AND(I401="Allocated",OR(Q401="",R401="")),AND(U401="Yes",V401="")),"Incomplete","Ready"))</f>
        <v/>
      </c>
      <c r="X401" s="23">
        <f>IF(W401&lt;&gt;"Incomplete","",SUBSTITUTE(IF(B401="",", Street Address","")&amp;IF(C401="",", City","")&amp;IF(E401="",", Postcode","")&amp;IF(F401="",", Licensing Authority","")&amp;IF(I401="",", Status","")&amp;IF(J401="",", Firm","")&amp;IF(K401="",", Client","")&amp;IF(M401="",", Date of Instruction","")&amp;IF(N401="",", Instruction Type","")&amp;IF(O401="",", Reinstruction","")&amp;IF(AND(I401="Allocated",Q401=""),", Investigator","")&amp;IF(AND(I401="Allocated",R401=""),", Date Assigned","")&amp;IF(AND(U401="Yes",V401=""),", Licence Check Notes",""),", ","",1))</f>
        <v/>
      </c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2">
        <f>IF(A402="","",IF(OR(A402="",B402="",C402="",E402="",F402="",I402="",J402="",K402="",M402="",N402="",O402="",AND(I402="Allocated",OR(Q402="",R402="")),AND(U402="Yes",V402="")),"Incomplete","Ready"))</f>
        <v/>
      </c>
      <c r="X402" s="23">
        <f>IF(W402&lt;&gt;"Incomplete","",SUBSTITUTE(IF(B402="",", Street Address","")&amp;IF(C402="",", City","")&amp;IF(E402="",", Postcode","")&amp;IF(F402="",", Licensing Authority","")&amp;IF(I402="",", Status","")&amp;IF(J402="",", Firm","")&amp;IF(K402="",", Client","")&amp;IF(M402="",", Date of Instruction","")&amp;IF(N402="",", Instruction Type","")&amp;IF(O402="",", Reinstruction","")&amp;IF(AND(I402="Allocated",Q402=""),", Investigator","")&amp;IF(AND(I402="Allocated",R402=""),", Date Assigned","")&amp;IF(AND(U402="Yes",V402=""),", Licence Check Notes",""),", ","",1))</f>
        <v/>
      </c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2">
        <f>IF(A403="","",IF(OR(A403="",B403="",C403="",E403="",F403="",I403="",J403="",K403="",M403="",N403="",O403="",AND(I403="Allocated",OR(Q403="",R403="")),AND(U403="Yes",V403="")),"Incomplete","Ready"))</f>
        <v/>
      </c>
      <c r="X403" s="23">
        <f>IF(W403&lt;&gt;"Incomplete","",SUBSTITUTE(IF(B403="",", Street Address","")&amp;IF(C403="",", City","")&amp;IF(E403="",", Postcode","")&amp;IF(F403="",", Licensing Authority","")&amp;IF(I403="",", Status","")&amp;IF(J403="",", Firm","")&amp;IF(K403="",", Client","")&amp;IF(M403="",", Date of Instruction","")&amp;IF(N403="",", Instruction Type","")&amp;IF(O403="",", Reinstruction","")&amp;IF(AND(I403="Allocated",Q403=""),", Investigator","")&amp;IF(AND(I403="Allocated",R403=""),", Date Assigned","")&amp;IF(AND(U403="Yes",V403=""),", Licence Check Notes",""),", ","",1))</f>
        <v/>
      </c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2">
        <f>IF(A404="","",IF(OR(A404="",B404="",C404="",E404="",F404="",I404="",J404="",K404="",M404="",N404="",O404="",AND(I404="Allocated",OR(Q404="",R404="")),AND(U404="Yes",V404="")),"Incomplete","Ready"))</f>
        <v/>
      </c>
      <c r="X404" s="23">
        <f>IF(W404&lt;&gt;"Incomplete","",SUBSTITUTE(IF(B404="",", Street Address","")&amp;IF(C404="",", City","")&amp;IF(E404="",", Postcode","")&amp;IF(F404="",", Licensing Authority","")&amp;IF(I404="",", Status","")&amp;IF(J404="",", Firm","")&amp;IF(K404="",", Client","")&amp;IF(M404="",", Date of Instruction","")&amp;IF(N404="",", Instruction Type","")&amp;IF(O404="",", Reinstruction","")&amp;IF(AND(I404="Allocated",Q404=""),", Investigator","")&amp;IF(AND(I404="Allocated",R404=""),", Date Assigned","")&amp;IF(AND(U404="Yes",V404=""),", Licence Check Notes",""),", ","",1))</f>
        <v/>
      </c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2">
        <f>IF(A405="","",IF(OR(A405="",B405="",C405="",E405="",F405="",I405="",J405="",K405="",M405="",N405="",O405="",AND(I405="Allocated",OR(Q405="",R405="")),AND(U405="Yes",V405="")),"Incomplete","Ready"))</f>
        <v/>
      </c>
      <c r="X405" s="23">
        <f>IF(W405&lt;&gt;"Incomplete","",SUBSTITUTE(IF(B405="",", Street Address","")&amp;IF(C405="",", City","")&amp;IF(E405="",", Postcode","")&amp;IF(F405="",", Licensing Authority","")&amp;IF(I405="",", Status","")&amp;IF(J405="",", Firm","")&amp;IF(K405="",", Client","")&amp;IF(M405="",", Date of Instruction","")&amp;IF(N405="",", Instruction Type","")&amp;IF(O405="",", Reinstruction","")&amp;IF(AND(I405="Allocated",Q405=""),", Investigator","")&amp;IF(AND(I405="Allocated",R405=""),", Date Assigned","")&amp;IF(AND(U405="Yes",V405=""),", Licence Check Notes",""),", ","",1))</f>
        <v/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1"/>
  <mergeCells count="6">
    <mergeCell ref="Q1:R1"/>
    <mergeCell ref="A5:V5"/>
    <mergeCell ref="W1:X1"/>
    <mergeCell ref="A1:H1"/>
    <mergeCell ref="I1:P1"/>
    <mergeCell ref="S1:V1"/>
  </mergeCells>
  <conditionalFormatting sqref="A6:A405">
    <cfRule type="expression" priority="1" dxfId="0" stopIfTrue="0">
      <formula>AND($A6="",$A6&lt;&gt;"",ROW()&gt;=6)</formula>
    </cfRule>
  </conditionalFormatting>
  <conditionalFormatting sqref="B6:B405">
    <cfRule type="expression" priority="2" dxfId="0" stopIfTrue="0">
      <formula>AND($B6="",$A6&lt;&gt;"",ROW()&gt;=6)</formula>
    </cfRule>
  </conditionalFormatting>
  <conditionalFormatting sqref="C6:C405">
    <cfRule type="expression" priority="3" dxfId="0" stopIfTrue="0">
      <formula>AND($C6="",$A6&lt;&gt;"",ROW()&gt;=6)</formula>
    </cfRule>
  </conditionalFormatting>
  <conditionalFormatting sqref="E6:E405">
    <cfRule type="expression" priority="4" dxfId="0" stopIfTrue="0">
      <formula>AND($E6="",$A6&lt;&gt;"",ROW()&gt;=6)</formula>
    </cfRule>
  </conditionalFormatting>
  <conditionalFormatting sqref="F6:F405">
    <cfRule type="expression" priority="5" dxfId="0" stopIfTrue="0">
      <formula>AND($F6="",$A6&lt;&gt;"",ROW()&gt;=6)</formula>
    </cfRule>
  </conditionalFormatting>
  <conditionalFormatting sqref="I6:I405">
    <cfRule type="expression" priority="6" dxfId="0" stopIfTrue="0">
      <formula>AND($I6="",$A6&lt;&gt;"",ROW()&gt;=6)</formula>
    </cfRule>
  </conditionalFormatting>
  <conditionalFormatting sqref="J6:J405">
    <cfRule type="expression" priority="7" dxfId="0" stopIfTrue="0">
      <formula>AND($J6="",$A6&lt;&gt;"",ROW()&gt;=6)</formula>
    </cfRule>
    <cfRule type="expression" priority="17" dxfId="1" stopIfTrue="0">
      <formula>$J6="Other – advise A2Z Cloud"</formula>
    </cfRule>
  </conditionalFormatting>
  <conditionalFormatting sqref="K6:K405">
    <cfRule type="expression" priority="8" dxfId="0" stopIfTrue="0">
      <formula>AND($K6="",$A6&lt;&gt;"",ROW()&gt;=6)</formula>
    </cfRule>
    <cfRule type="expression" priority="18" dxfId="1" stopIfTrue="0">
      <formula>$K6="Other – advise A2Z Cloud"</formula>
    </cfRule>
  </conditionalFormatting>
  <conditionalFormatting sqref="M6:M405">
    <cfRule type="expression" priority="9" dxfId="0" stopIfTrue="0">
      <formula>AND($M6="",$A6&lt;&gt;"",ROW()&gt;=6)</formula>
    </cfRule>
  </conditionalFormatting>
  <conditionalFormatting sqref="N6:N405">
    <cfRule type="expression" priority="10" dxfId="0" stopIfTrue="0">
      <formula>AND($N6="",$A6&lt;&gt;"",ROW()&gt;=6)</formula>
    </cfRule>
  </conditionalFormatting>
  <conditionalFormatting sqref="O6:O405">
    <cfRule type="expression" priority="11" dxfId="0" stopIfTrue="0">
      <formula>AND($O6="",$A6&lt;&gt;"",ROW()&gt;=6)</formula>
    </cfRule>
  </conditionalFormatting>
  <conditionalFormatting sqref="Q6:Q405">
    <cfRule type="expression" priority="12" dxfId="0" stopIfTrue="0">
      <formula>AND($Q6="",$I6="Allocated")</formula>
    </cfRule>
    <cfRule type="expression" priority="19" dxfId="1" stopIfTrue="0">
      <formula>$Q6="Other – advise A2Z Cloud"</formula>
    </cfRule>
  </conditionalFormatting>
  <conditionalFormatting sqref="R6:R405">
    <cfRule type="expression" priority="13" dxfId="0" stopIfTrue="0">
      <formula>AND($R6="",$I6="Allocated")</formula>
    </cfRule>
  </conditionalFormatting>
  <conditionalFormatting sqref="V6:V405">
    <cfRule type="expression" priority="14" dxfId="0" stopIfTrue="0">
      <formula>AND($V6="",$U6="Yes")</formula>
    </cfRule>
  </conditionalFormatting>
  <conditionalFormatting sqref="W6:W405">
    <cfRule type="expression" priority="15" dxfId="2" stopIfTrue="0">
      <formula>$W6="Ready"</formula>
    </cfRule>
    <cfRule type="expression" priority="16" dxfId="1" stopIfTrue="0">
      <formula>$W6="Incomplete"</formula>
    </cfRule>
  </conditionalFormatting>
  <dataValidations count="11">
    <dataValidation sqref="I6:I405" showDropDown="0" showInputMessage="0" showErrorMessage="1" allowBlank="1" errorTitle="Invalid value" error="Pick from the dropdown list. If the value you need isn't there, choose 'Other – advise A2Z Cloud'." type="list">
      <formula1>=InstructionStatus</formula1>
    </dataValidation>
    <dataValidation sqref="J6:J405" showDropDown="0" showInputMessage="0" showErrorMessage="1" allowBlank="1" errorTitle="Invalid value" error="Pick from the dropdown list. If the value you need isn't there, choose 'Other – advise A2Z Cloud'." type="list">
      <formula1>=Firms</formula1>
    </dataValidation>
    <dataValidation sqref="K6:K405" showDropDown="0" showInputMessage="0" showErrorMessage="1" allowBlank="1" errorTitle="Invalid value" error="Pick from the dropdown list. If the value you need isn't there, choose 'Other – advise A2Z Cloud'." type="list">
      <formula1>=Clients</formula1>
    </dataValidation>
    <dataValidation sqref="N6:N405" showDropDown="0" showInputMessage="0" showErrorMessage="1" allowBlank="1" errorTitle="Invalid value" error="Pick from the dropdown list. If the value you need isn't there, choose 'Other – advise A2Z Cloud'." type="list">
      <formula1>=InstructionType</formula1>
    </dataValidation>
    <dataValidation sqref="O6:O405" showDropDown="0" showInputMessage="0" showErrorMessage="1" allowBlank="1" errorTitle="Invalid value" error="Pick from the dropdown list. If the value you need isn't there, choose 'Other – advise A2Z Cloud'." type="list">
      <formula1>=YesNo</formula1>
    </dataValidation>
    <dataValidation sqref="Q6:Q405" showDropDown="0" showInputMessage="0" showErrorMessage="1" allowBlank="1" errorTitle="Invalid value" error="Pick from the dropdown list. If the value you need isn't there, choose 'Other – advise A2Z Cloud'." type="list">
      <formula1>=Investigators</formula1>
    </dataValidation>
    <dataValidation sqref="S6:S405" showDropDown="0" showInputMessage="0" showErrorMessage="1" allowBlank="1" errorTitle="Invalid value" error="Pick from the dropdown list. If the value you need isn't there, choose 'Other – advise A2Z Cloud'." type="list">
      <formula1>=CouncilMethod</formula1>
    </dataValidation>
    <dataValidation sqref="U6:U405" showDropDown="0" showInputMessage="0" showErrorMessage="1" allowBlank="1" errorTitle="Invalid value" error="Pick from the dropdown list. If the value you need isn't there, choose 'Other – advise A2Z Cloud'." type="list">
      <formula1>=CouncilResponse</formula1>
    </dataValidation>
    <dataValidation sqref="M6:M405" showDropDown="0" showInputMessage="0" showErrorMessage="1" allowBlank="1" errorTitle="Date format" error="Please enter a valid date in DD/MM/YYYY format." type="date"/>
    <dataValidation sqref="R6:R405" showDropDown="0" showInputMessage="0" showErrorMessage="1" allowBlank="1" errorTitle="Date format" error="Please enter a valid date in DD/MM/YYYY format." type="date"/>
    <dataValidation sqref="T6:T405" showDropDown="0" showInputMessage="0" showErrorMessage="1" allowBlank="1" errorTitle="Date format" error="Please enter a valid date in DD/MM/YYYY format." type="date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24" customWidth="1" min="2" max="2"/>
    <col width="30" customWidth="1" min="3" max="3"/>
    <col width="18" customWidth="1" min="4" max="4"/>
    <col width="16" customWidth="1" min="5" max="5"/>
  </cols>
  <sheetData>
    <row r="1" ht="26" customHeight="1">
      <c r="A1" s="24" t="inlineStr">
        <is>
          <t>Portal Users — clients who need login access to submit instructions</t>
        </is>
      </c>
    </row>
    <row r="2" ht="26" customHeight="1">
      <c r="A2" s="16" t="inlineStr">
        <is>
          <t>Client Name *</t>
        </is>
      </c>
      <c r="B2" s="17" t="inlineStr">
        <is>
          <t>Firm</t>
        </is>
      </c>
      <c r="C2" s="16" t="inlineStr">
        <is>
          <t>Email *</t>
        </is>
      </c>
      <c r="D2" s="17" t="inlineStr">
        <is>
          <t>Phone</t>
        </is>
      </c>
      <c r="E2" s="17" t="inlineStr">
        <is>
          <t>Activate Portal?</t>
        </is>
      </c>
    </row>
    <row r="3" ht="32" customHeight="1">
      <c r="A3" s="18" t="inlineStr">
        <is>
          <t>▼ Pick from dropdown.</t>
        </is>
      </c>
      <c r="B3" s="18" t="inlineStr">
        <is>
          <t>Auto-fill — leave blank.</t>
        </is>
      </c>
      <c r="C3" s="18" t="inlineStr">
        <is>
          <t>REQUIRED. Their direct email.</t>
        </is>
      </c>
      <c r="D3" s="18" t="inlineStr">
        <is>
          <t>Optional.</t>
        </is>
      </c>
      <c r="E3" s="18" t="inlineStr">
        <is>
          <t>▼ Yes = activate now.  Defer = set up later.</t>
        </is>
      </c>
    </row>
    <row r="4">
      <c r="A4" s="21" t="n"/>
      <c r="B4" s="21" t="n"/>
      <c r="C4" s="21" t="n"/>
      <c r="D4" s="21" t="n"/>
      <c r="E4" s="21" t="n"/>
    </row>
    <row r="5">
      <c r="A5" s="21" t="n"/>
      <c r="B5" s="21" t="n"/>
      <c r="C5" s="21" t="n"/>
      <c r="D5" s="21" t="n"/>
      <c r="E5" s="21" t="n"/>
    </row>
    <row r="6">
      <c r="A6" s="21" t="n"/>
      <c r="B6" s="21" t="n"/>
      <c r="C6" s="21" t="n"/>
      <c r="D6" s="21" t="n"/>
      <c r="E6" s="21" t="n"/>
    </row>
    <row r="7">
      <c r="A7" s="21" t="n"/>
      <c r="B7" s="21" t="n"/>
      <c r="C7" s="21" t="n"/>
      <c r="D7" s="21" t="n"/>
      <c r="E7" s="21" t="n"/>
    </row>
    <row r="8">
      <c r="A8" s="21" t="n"/>
      <c r="B8" s="21" t="n"/>
      <c r="C8" s="21" t="n"/>
      <c r="D8" s="21" t="n"/>
      <c r="E8" s="21" t="n"/>
    </row>
    <row r="9">
      <c r="A9" s="21" t="n"/>
      <c r="B9" s="21" t="n"/>
      <c r="C9" s="21" t="n"/>
      <c r="D9" s="21" t="n"/>
      <c r="E9" s="21" t="n"/>
    </row>
    <row r="10">
      <c r="A10" s="21" t="n"/>
      <c r="B10" s="21" t="n"/>
      <c r="C10" s="21" t="n"/>
      <c r="D10" s="21" t="n"/>
      <c r="E10" s="21" t="n"/>
    </row>
    <row r="11">
      <c r="A11" s="21" t="n"/>
      <c r="B11" s="21" t="n"/>
      <c r="C11" s="21" t="n"/>
      <c r="D11" s="21" t="n"/>
      <c r="E11" s="21" t="n"/>
    </row>
    <row r="12">
      <c r="A12" s="21" t="n"/>
      <c r="B12" s="21" t="n"/>
      <c r="C12" s="21" t="n"/>
      <c r="D12" s="21" t="n"/>
      <c r="E12" s="21" t="n"/>
    </row>
    <row r="13">
      <c r="A13" s="21" t="n"/>
      <c r="B13" s="21" t="n"/>
      <c r="C13" s="21" t="n"/>
      <c r="D13" s="21" t="n"/>
      <c r="E13" s="21" t="n"/>
    </row>
    <row r="14">
      <c r="A14" s="21" t="n"/>
      <c r="B14" s="21" t="n"/>
      <c r="C14" s="21" t="n"/>
      <c r="D14" s="21" t="n"/>
      <c r="E14" s="21" t="n"/>
    </row>
    <row r="15">
      <c r="A15" s="21" t="n"/>
      <c r="B15" s="21" t="n"/>
      <c r="C15" s="21" t="n"/>
      <c r="D15" s="21" t="n"/>
      <c r="E15" s="21" t="n"/>
    </row>
    <row r="16">
      <c r="A16" s="21" t="n"/>
      <c r="B16" s="21" t="n"/>
      <c r="C16" s="21" t="n"/>
      <c r="D16" s="21" t="n"/>
      <c r="E16" s="21" t="n"/>
    </row>
    <row r="17">
      <c r="A17" s="21" t="n"/>
      <c r="B17" s="21" t="n"/>
      <c r="C17" s="21" t="n"/>
      <c r="D17" s="21" t="n"/>
      <c r="E17" s="21" t="n"/>
    </row>
    <row r="18">
      <c r="A18" s="21" t="n"/>
      <c r="B18" s="21" t="n"/>
      <c r="C18" s="21" t="n"/>
      <c r="D18" s="21" t="n"/>
      <c r="E18" s="21" t="n"/>
    </row>
    <row r="19">
      <c r="A19" s="21" t="n"/>
      <c r="B19" s="21" t="n"/>
      <c r="C19" s="21" t="n"/>
      <c r="D19" s="21" t="n"/>
      <c r="E19" s="21" t="n"/>
    </row>
    <row r="20">
      <c r="A20" s="21" t="n"/>
      <c r="B20" s="21" t="n"/>
      <c r="C20" s="21" t="n"/>
      <c r="D20" s="21" t="n"/>
      <c r="E20" s="21" t="n"/>
    </row>
    <row r="21">
      <c r="A21" s="21" t="n"/>
      <c r="B21" s="21" t="n"/>
      <c r="C21" s="21" t="n"/>
      <c r="D21" s="21" t="n"/>
      <c r="E21" s="21" t="n"/>
    </row>
    <row r="22">
      <c r="A22" s="21" t="n"/>
      <c r="B22" s="21" t="n"/>
      <c r="C22" s="21" t="n"/>
      <c r="D22" s="21" t="n"/>
      <c r="E22" s="21" t="n"/>
    </row>
    <row r="23">
      <c r="A23" s="21" t="n"/>
      <c r="B23" s="21" t="n"/>
      <c r="C23" s="21" t="n"/>
      <c r="D23" s="21" t="n"/>
      <c r="E23" s="21" t="n"/>
    </row>
    <row r="24">
      <c r="A24" s="21" t="n"/>
      <c r="B24" s="21" t="n"/>
      <c r="C24" s="21" t="n"/>
      <c r="D24" s="21" t="n"/>
      <c r="E24" s="21" t="n"/>
    </row>
    <row r="25">
      <c r="A25" s="21" t="n"/>
      <c r="B25" s="21" t="n"/>
      <c r="C25" s="21" t="n"/>
      <c r="D25" s="21" t="n"/>
      <c r="E25" s="21" t="n"/>
    </row>
    <row r="26">
      <c r="A26" s="21" t="n"/>
      <c r="B26" s="21" t="n"/>
      <c r="C26" s="21" t="n"/>
      <c r="D26" s="21" t="n"/>
      <c r="E26" s="21" t="n"/>
    </row>
    <row r="27">
      <c r="A27" s="21" t="n"/>
      <c r="B27" s="21" t="n"/>
      <c r="C27" s="21" t="n"/>
      <c r="D27" s="21" t="n"/>
      <c r="E27" s="21" t="n"/>
    </row>
    <row r="28">
      <c r="A28" s="21" t="n"/>
      <c r="B28" s="21" t="n"/>
      <c r="C28" s="21" t="n"/>
      <c r="D28" s="21" t="n"/>
      <c r="E28" s="21" t="n"/>
    </row>
    <row r="29">
      <c r="A29" s="21" t="n"/>
      <c r="B29" s="21" t="n"/>
      <c r="C29" s="21" t="n"/>
      <c r="D29" s="21" t="n"/>
      <c r="E29" s="21" t="n"/>
    </row>
    <row r="30">
      <c r="A30" s="21" t="n"/>
      <c r="B30" s="21" t="n"/>
      <c r="C30" s="21" t="n"/>
      <c r="D30" s="21" t="n"/>
      <c r="E30" s="21" t="n"/>
    </row>
    <row r="31">
      <c r="A31" s="21" t="n"/>
      <c r="B31" s="21" t="n"/>
      <c r="C31" s="21" t="n"/>
      <c r="D31" s="21" t="n"/>
      <c r="E31" s="21" t="n"/>
    </row>
    <row r="32">
      <c r="A32" s="21" t="n"/>
      <c r="B32" s="21" t="n"/>
      <c r="C32" s="21" t="n"/>
      <c r="D32" s="21" t="n"/>
      <c r="E32" s="21" t="n"/>
    </row>
    <row r="33">
      <c r="A33" s="21" t="n"/>
      <c r="B33" s="21" t="n"/>
      <c r="C33" s="21" t="n"/>
      <c r="D33" s="21" t="n"/>
      <c r="E33" s="21" t="n"/>
    </row>
    <row r="34">
      <c r="A34" s="21" t="n"/>
      <c r="B34" s="21" t="n"/>
      <c r="C34" s="21" t="n"/>
      <c r="D34" s="21" t="n"/>
      <c r="E34" s="21" t="n"/>
    </row>
    <row r="35">
      <c r="A35" s="21" t="n"/>
      <c r="B35" s="21" t="n"/>
      <c r="C35" s="21" t="n"/>
      <c r="D35" s="21" t="n"/>
      <c r="E35" s="21" t="n"/>
    </row>
    <row r="36">
      <c r="A36" s="21" t="n"/>
      <c r="B36" s="21" t="n"/>
      <c r="C36" s="21" t="n"/>
      <c r="D36" s="21" t="n"/>
      <c r="E36" s="21" t="n"/>
    </row>
    <row r="37">
      <c r="A37" s="21" t="n"/>
      <c r="B37" s="21" t="n"/>
      <c r="C37" s="21" t="n"/>
      <c r="D37" s="21" t="n"/>
      <c r="E37" s="21" t="n"/>
    </row>
    <row r="38">
      <c r="A38" s="21" t="n"/>
      <c r="B38" s="21" t="n"/>
      <c r="C38" s="21" t="n"/>
      <c r="D38" s="21" t="n"/>
      <c r="E38" s="21" t="n"/>
    </row>
    <row r="39">
      <c r="A39" s="21" t="n"/>
      <c r="B39" s="21" t="n"/>
      <c r="C39" s="21" t="n"/>
      <c r="D39" s="21" t="n"/>
      <c r="E39" s="21" t="n"/>
    </row>
    <row r="40">
      <c r="A40" s="21" t="n"/>
      <c r="B40" s="21" t="n"/>
      <c r="C40" s="21" t="n"/>
      <c r="D40" s="21" t="n"/>
      <c r="E40" s="21" t="n"/>
    </row>
    <row r="41">
      <c r="A41" s="21" t="n"/>
      <c r="B41" s="21" t="n"/>
      <c r="C41" s="21" t="n"/>
      <c r="D41" s="21" t="n"/>
      <c r="E41" s="21" t="n"/>
    </row>
    <row r="42">
      <c r="A42" s="21" t="n"/>
      <c r="B42" s="21" t="n"/>
      <c r="C42" s="21" t="n"/>
      <c r="D42" s="21" t="n"/>
      <c r="E42" s="21" t="n"/>
    </row>
    <row r="43">
      <c r="A43" s="21" t="n"/>
      <c r="B43" s="21" t="n"/>
      <c r="C43" s="21" t="n"/>
      <c r="D43" s="21" t="n"/>
      <c r="E43" s="21" t="n"/>
    </row>
    <row r="44">
      <c r="A44" s="21" t="n"/>
      <c r="B44" s="21" t="n"/>
      <c r="C44" s="21" t="n"/>
      <c r="D44" s="21" t="n"/>
      <c r="E44" s="21" t="n"/>
    </row>
    <row r="45">
      <c r="A45" s="21" t="n"/>
      <c r="B45" s="21" t="n"/>
      <c r="C45" s="21" t="n"/>
      <c r="D45" s="21" t="n"/>
      <c r="E45" s="21" t="n"/>
    </row>
    <row r="46">
      <c r="A46" s="21" t="n"/>
      <c r="B46" s="21" t="n"/>
      <c r="C46" s="21" t="n"/>
      <c r="D46" s="21" t="n"/>
      <c r="E46" s="21" t="n"/>
    </row>
    <row r="47">
      <c r="A47" s="21" t="n"/>
      <c r="B47" s="21" t="n"/>
      <c r="C47" s="21" t="n"/>
      <c r="D47" s="21" t="n"/>
      <c r="E47" s="21" t="n"/>
    </row>
    <row r="48">
      <c r="A48" s="21" t="n"/>
      <c r="B48" s="21" t="n"/>
      <c r="C48" s="21" t="n"/>
      <c r="D48" s="21" t="n"/>
      <c r="E48" s="21" t="n"/>
    </row>
    <row r="49">
      <c r="A49" s="21" t="n"/>
      <c r="B49" s="21" t="n"/>
      <c r="C49" s="21" t="n"/>
      <c r="D49" s="21" t="n"/>
      <c r="E49" s="21" t="n"/>
    </row>
    <row r="50">
      <c r="A50" s="21" t="n"/>
      <c r="B50" s="21" t="n"/>
      <c r="C50" s="21" t="n"/>
      <c r="D50" s="21" t="n"/>
      <c r="E50" s="21" t="n"/>
    </row>
    <row r="51">
      <c r="A51" s="21" t="n"/>
      <c r="B51" s="21" t="n"/>
      <c r="C51" s="21" t="n"/>
      <c r="D51" s="21" t="n"/>
      <c r="E51" s="21" t="n"/>
    </row>
    <row r="52">
      <c r="A52" s="21" t="n"/>
      <c r="B52" s="21" t="n"/>
      <c r="C52" s="21" t="n"/>
      <c r="D52" s="21" t="n"/>
      <c r="E52" s="21" t="n"/>
    </row>
    <row r="53">
      <c r="A53" s="21" t="n"/>
      <c r="B53" s="21" t="n"/>
      <c r="C53" s="21" t="n"/>
      <c r="D53" s="21" t="n"/>
      <c r="E53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E1"/>
  </mergeCells>
  <dataValidations count="2">
    <dataValidation sqref="A4:A53" showDropDown="0" showInputMessage="0" showErrorMessage="0" allowBlank="1" type="list">
      <formula1>=Clients</formula1>
    </dataValidation>
    <dataValidation sqref="E4:E53" showDropDown="0" showInputMessage="0" showErrorMessage="0" allowBlank="1" type="list">
      <formula1>=ActivatePortal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42" customWidth="1" min="2" max="2"/>
    <col width="14" customWidth="1" min="3" max="3"/>
    <col width="60" customWidth="1" min="4" max="4"/>
  </cols>
  <sheetData>
    <row r="2" ht="50" customHeight="1">
      <c r="B2" s="25">
        <f>IF(AND(C5&gt;0,C7=0),"READY TO SEND ✓  —  Email this file back to A2Z Cloud","NOT READY  ×  —  Fix the issues below before sending")</f>
        <v/>
      </c>
    </row>
    <row r="4">
      <c r="B4" s="3" t="inlineStr">
        <is>
          <t>Headline counts</t>
        </is>
      </c>
    </row>
    <row r="5" ht="22" customHeight="1">
      <c r="B5" s="26" t="inlineStr">
        <is>
          <t>Total rows entered</t>
        </is>
      </c>
      <c r="C5" s="27">
        <f>COUNTA(Instructions!A6:A405)</f>
        <v/>
      </c>
    </row>
    <row r="6" ht="22" customHeight="1">
      <c r="B6" s="26" t="inlineStr">
        <is>
          <t>Rows fully valid (Ready)</t>
        </is>
      </c>
      <c r="C6" s="27">
        <f>COUNTIF(Instructions!W6:W405,"Ready")</f>
        <v/>
      </c>
    </row>
    <row r="7" ht="22" customHeight="1">
      <c r="B7" s="26" t="inlineStr">
        <is>
          <t>Rows incomplete</t>
        </is>
      </c>
      <c r="C7" s="27">
        <f>COUNTIF(Instructions!W6:W405,"Incomplete")</f>
        <v/>
      </c>
    </row>
    <row r="9">
      <c r="B9" s="3" t="inlineStr">
        <is>
          <t>Issue breakdown</t>
        </is>
      </c>
    </row>
    <row r="10" ht="22" customHeight="1">
      <c r="B10" s="28" t="inlineStr">
        <is>
          <t>Issue</t>
        </is>
      </c>
      <c r="C10" s="28" t="inlineStr">
        <is>
          <t>Count</t>
        </is>
      </c>
      <c r="D10" s="28" t="inlineStr">
        <is>
          <t>First example row</t>
        </is>
      </c>
    </row>
    <row r="11" ht="20" customHeight="1">
      <c r="B11" s="29" t="inlineStr">
        <is>
          <t>Missing Street Address</t>
        </is>
      </c>
      <c r="C11" s="27">
        <f>SUMPRODUCT((Instructions!A6:A405&lt;&gt;"")*(Instructions!B6:B405=""))</f>
        <v/>
      </c>
      <c r="D11" s="30">
        <f>IFERROR(MATCH(1,(Instructions!A6:A405&lt;&gt;"")*(Instructions!B6:B405=""),0)+5,"—")</f>
        <v/>
      </c>
    </row>
    <row r="12" ht="20" customHeight="1">
      <c r="B12" s="29" t="inlineStr">
        <is>
          <t>Missing Licensing Authority</t>
        </is>
      </c>
      <c r="C12" s="27">
        <f>SUMPRODUCT((Instructions!A6:A405&lt;&gt;"")*(Instructions!F6:F405=""))</f>
        <v/>
      </c>
      <c r="D12" s="30">
        <f>IFERROR(MATCH(1,(Instructions!A6:A405&lt;&gt;"")*(Instructions!F6:F405=""),0)+5,"—")</f>
        <v/>
      </c>
    </row>
    <row r="13" ht="20" customHeight="1">
      <c r="B13" s="29" t="inlineStr">
        <is>
          <t>Missing Postcode</t>
        </is>
      </c>
      <c r="C13" s="27">
        <f>SUMPRODUCT((Instructions!A6:A405&lt;&gt;"")*(Instructions!E6:E405=""))</f>
        <v/>
      </c>
      <c r="D13" s="30">
        <f>IFERROR(MATCH(1,(Instructions!A6:A405&lt;&gt;"")*(Instructions!E6:E405=""),0)+5,"—")</f>
        <v/>
      </c>
    </row>
    <row r="14" ht="20" customHeight="1">
      <c r="B14" s="29" t="inlineStr">
        <is>
          <t>Missing Status / Firm / Client</t>
        </is>
      </c>
      <c r="C14" s="27">
        <f>SUMPRODUCT((Instructions!A6:A405&lt;&gt;"")*((Instructions!I6:I405="")+(Instructions!J6:J405="")+(Instructions!K6:K405="")&gt;0))</f>
        <v/>
      </c>
      <c r="D14" s="30">
        <f>IFERROR(MATCH(1,(Instructions!A6:A405&lt;&gt;"")*((Instructions!I6:I405="")+(Instructions!J6:J405="")+(Instructions!K6:K405="")&gt;0),0)+5,"—")</f>
        <v/>
      </c>
    </row>
    <row r="15" ht="20" customHeight="1">
      <c r="B15" s="29" t="inlineStr">
        <is>
          <t>Missing Date / Type / Reinstruction flag</t>
        </is>
      </c>
      <c r="C15" s="27">
        <f>SUMPRODUCT((Instructions!A6:A405&lt;&gt;"")*((Instructions!M6:M405="")+(Instructions!N6:N405="")+(Instructions!O6:O405="")&gt;0))</f>
        <v/>
      </c>
      <c r="D15" s="30">
        <f>IFERROR(MATCH(1,(Instructions!A6:A405&lt;&gt;"")*((Instructions!M6:M405="")+(Instructions!N6:N405="")+(Instructions!O6:O405="")&gt;0),0)+5,"—")</f>
        <v/>
      </c>
    </row>
    <row r="16" ht="20" customHeight="1">
      <c r="B16" s="29" t="inlineStr">
        <is>
          <t>Allocated rows missing investigator/date</t>
        </is>
      </c>
      <c r="C16" s="27">
        <f>SUMPRODUCT((Instructions!I6:I405="Allocated")*((Instructions!Q6:Q405="")+(Instructions!R6:R405="")&gt;0))</f>
        <v/>
      </c>
      <c r="D16" s="30">
        <f>IFERROR(MATCH(1,(Instructions!I6:I405="Allocated")*((Instructions!Q6:Q405="")+(Instructions!R6:R405="")&gt;0),0)+5,"—")</f>
        <v/>
      </c>
    </row>
    <row r="17" ht="20" customHeight="1">
      <c r="B17" s="29" t="inlineStr">
        <is>
          <t>Council Response = Yes but no notes</t>
        </is>
      </c>
      <c r="C17" s="27">
        <f>SUMPRODUCT((Instructions!U6:U405="Yes")*(Instructions!V6:V405=""))</f>
        <v/>
      </c>
      <c r="D17" s="30">
        <f>IFERROR(MATCH(1,(Instructions!U6:U405="Yes")*(Instructions!V6:V405=""),0)+5,"—")</f>
        <v/>
      </c>
    </row>
    <row r="18" ht="20" customHeight="1">
      <c r="B18" s="29" t="inlineStr">
        <is>
          <t>'Other' firm picked (needs A2Z follow-up)</t>
        </is>
      </c>
      <c r="C18" s="27">
        <f>COUNTIF(Instructions!J6:J405,"Other – advise A2Z Cloud")</f>
        <v/>
      </c>
      <c r="D18" s="30">
        <f>IFERROR(MATCH("Other – advise A2Z Cloud",Instructions!J6:J405,0)+5,"—")</f>
        <v/>
      </c>
    </row>
    <row r="19" ht="20" customHeight="1">
      <c r="B19" s="29" t="inlineStr">
        <is>
          <t>'Other' client picked (needs A2Z follow-up)</t>
        </is>
      </c>
      <c r="C19" s="27">
        <f>COUNTIF(Instructions!K6:K405,"Other – advise A2Z Cloud")</f>
        <v/>
      </c>
      <c r="D19" s="30">
        <f>IFERROR(MATCH("Other – advise A2Z Cloud",Instructions!K6:K405,0)+5,"—")</f>
        <v/>
      </c>
    </row>
    <row r="20" ht="20" customHeight="1">
      <c r="B20" s="29" t="inlineStr">
        <is>
          <t>'Other' investigator picked (needs A2Z follow-up)</t>
        </is>
      </c>
      <c r="C20" s="27">
        <f>COUNTIF(Instructions!Q6:Q405,"Other – advise A2Z Cloud")</f>
        <v/>
      </c>
      <c r="D20" s="30">
        <f>IFERROR(MATCH("Other – advise A2Z Cloud",Instructions!Q6:Q405,0)+5,"—")</f>
        <v/>
      </c>
    </row>
    <row r="22" ht="30" customHeight="1">
      <c r="B22" s="31" t="inlineStr">
        <is>
          <t>Tip: this dashboard updates live as you fill rows. The banner above turns green when there are no issues left and at least one row has been entered.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B22:D22"/>
    <mergeCell ref="B2:D2"/>
  </mergeCells>
  <conditionalFormatting sqref="B2:D2">
    <cfRule type="expression" priority="1" dxfId="3" stopIfTrue="0">
      <formula>AND(C5&gt;0,C7=0)</formula>
    </cfRule>
    <cfRule type="expression" priority="2" dxfId="4" stopIfTrue="0">
      <formula>NOT(AND(C5&gt;0,C7=0))</formula>
    </cfRule>
  </conditionalFormatting>
  <conditionalFormatting sqref="C11:D11">
    <cfRule type="expression" priority="3" dxfId="1" stopIfTrue="0">
      <formula>$C11&gt;0</formula>
    </cfRule>
  </conditionalFormatting>
  <conditionalFormatting sqref="C12:D12">
    <cfRule type="expression" priority="4" dxfId="1" stopIfTrue="0">
      <formula>$C12&gt;0</formula>
    </cfRule>
  </conditionalFormatting>
  <conditionalFormatting sqref="C13:D13">
    <cfRule type="expression" priority="5" dxfId="1" stopIfTrue="0">
      <formula>$C13&gt;0</formula>
    </cfRule>
  </conditionalFormatting>
  <conditionalFormatting sqref="C14:D14">
    <cfRule type="expression" priority="6" dxfId="1" stopIfTrue="0">
      <formula>$C14&gt;0</formula>
    </cfRule>
  </conditionalFormatting>
  <conditionalFormatting sqref="C15:D15">
    <cfRule type="expression" priority="7" dxfId="1" stopIfTrue="0">
      <formula>$C15&gt;0</formula>
    </cfRule>
  </conditionalFormatting>
  <conditionalFormatting sqref="C16:D16">
    <cfRule type="expression" priority="8" dxfId="1" stopIfTrue="0">
      <formula>$C16&gt;0</formula>
    </cfRule>
  </conditionalFormatting>
  <conditionalFormatting sqref="C17:D17">
    <cfRule type="expression" priority="9" dxfId="1" stopIfTrue="0">
      <formula>$C17&gt;0</formula>
    </cfRule>
  </conditionalFormatting>
  <conditionalFormatting sqref="C18:D18">
    <cfRule type="expression" priority="10" dxfId="1" stopIfTrue="0">
      <formula>$C18&gt;0</formula>
    </cfRule>
  </conditionalFormatting>
  <conditionalFormatting sqref="C19:D19">
    <cfRule type="expression" priority="11" dxfId="1" stopIfTrue="0">
      <formula>$C19&gt;0</formula>
    </cfRule>
  </conditionalFormatting>
  <conditionalFormatting sqref="C20:D20">
    <cfRule type="expression" priority="12" dxfId="1" stopIfTrue="0">
      <formula>$C20&gt;0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31" customWidth="1" min="2" max="2"/>
    <col width="26" customWidth="1" min="3" max="3"/>
    <col width="22" customWidth="1" min="4" max="4"/>
    <col width="29" customWidth="1" min="5" max="5"/>
    <col width="7" customWidth="1" min="6" max="6"/>
    <col width="24" customWidth="1" min="7" max="7"/>
    <col width="19" customWidth="1" min="8" max="8"/>
    <col width="16" customWidth="1" min="9" max="9"/>
  </cols>
  <sheetData>
    <row r="1">
      <c r="A1" s="32" t="inlineStr">
        <is>
          <t>Firms</t>
        </is>
      </c>
      <c r="B1" s="32" t="inlineStr">
        <is>
          <t>Clients</t>
        </is>
      </c>
      <c r="C1" s="32" t="inlineStr">
        <is>
          <t>Investigators</t>
        </is>
      </c>
      <c r="D1" s="32" t="inlineStr">
        <is>
          <t>InstructionStatus</t>
        </is>
      </c>
      <c r="E1" s="32" t="inlineStr">
        <is>
          <t>InstructionType</t>
        </is>
      </c>
      <c r="F1" s="32" t="inlineStr">
        <is>
          <t>YesNo</t>
        </is>
      </c>
      <c r="G1" s="32" t="inlineStr">
        <is>
          <t>CouncilMethod</t>
        </is>
      </c>
      <c r="H1" s="32" t="inlineStr">
        <is>
          <t>CouncilResponse</t>
        </is>
      </c>
      <c r="I1" s="32" t="inlineStr">
        <is>
          <t>ActivatePortal</t>
        </is>
      </c>
    </row>
    <row r="2">
      <c r="A2" t="inlineStr">
        <is>
          <t>Hamlins LLP</t>
        </is>
      </c>
      <c r="B2" t="inlineStr">
        <is>
          <t>Michael Green (Hamlins LLP)</t>
        </is>
      </c>
      <c r="C2" t="inlineStr">
        <is>
          <t>Mathew MacMillan</t>
        </is>
      </c>
      <c r="D2" t="inlineStr">
        <is>
          <t>On Hold</t>
        </is>
      </c>
      <c r="E2" t="inlineStr">
        <is>
          <t>Pub/Bar – background</t>
        </is>
      </c>
      <c r="F2" t="inlineStr">
        <is>
          <t>Yes</t>
        </is>
      </c>
      <c r="G2" t="inlineStr">
        <is>
          <t>Public Register Online</t>
        </is>
      </c>
      <c r="H2" t="inlineStr">
        <is>
          <t>Yes</t>
        </is>
      </c>
      <c r="I2" t="inlineStr">
        <is>
          <t>Yes</t>
        </is>
      </c>
    </row>
    <row r="3">
      <c r="A3" t="inlineStr">
        <is>
          <t>Seddons-GSC</t>
        </is>
      </c>
      <c r="B3" t="inlineStr">
        <is>
          <t>Kirsty Lawrence (Hamlins LLP)</t>
        </is>
      </c>
      <c r="C3" t="inlineStr">
        <is>
          <t>Dan Blowes</t>
        </is>
      </c>
      <c r="D3" t="inlineStr">
        <is>
          <t>Unallocated</t>
        </is>
      </c>
      <c r="E3" t="inlineStr">
        <is>
          <t>Pub/Bar – event</t>
        </is>
      </c>
      <c r="F3" t="inlineStr">
        <is>
          <t>No</t>
        </is>
      </c>
      <c r="G3" t="inlineStr">
        <is>
          <t>Email</t>
        </is>
      </c>
      <c r="H3" t="inlineStr">
        <is>
          <t>No</t>
        </is>
      </c>
      <c r="I3" t="inlineStr">
        <is>
          <t>Defer</t>
        </is>
      </c>
    </row>
    <row r="4">
      <c r="A4" t="inlineStr">
        <is>
          <t>Brodies LLP</t>
        </is>
      </c>
      <c r="B4" t="inlineStr">
        <is>
          <t>Wendy Farrow (Hamlins LLP)</t>
        </is>
      </c>
      <c r="C4" t="inlineStr">
        <is>
          <t>David Garside</t>
        </is>
      </c>
      <c r="D4" t="inlineStr">
        <is>
          <t>Ready for Allocation</t>
        </is>
      </c>
      <c r="E4" t="inlineStr">
        <is>
          <t>Restaurant//Café</t>
        </is>
      </c>
      <c r="G4" t="inlineStr">
        <is>
          <t>Form Submitted</t>
        </is>
      </c>
      <c r="H4" t="inlineStr">
        <is>
          <t>Awaiting Response</t>
        </is>
      </c>
    </row>
    <row r="5">
      <c r="A5" t="inlineStr">
        <is>
          <t>Burness Paull LLP</t>
        </is>
      </c>
      <c r="B5" t="inlineStr">
        <is>
          <t>Martin Ochs (Hamlins LLP)</t>
        </is>
      </c>
      <c r="C5" t="inlineStr">
        <is>
          <t>Gary Hall</t>
        </is>
      </c>
      <c r="D5" t="inlineStr">
        <is>
          <t>Allocated</t>
        </is>
      </c>
      <c r="E5" t="inlineStr">
        <is>
          <t>Cafe</t>
        </is>
      </c>
    </row>
    <row r="6">
      <c r="A6" t="inlineStr">
        <is>
          <t>Other – advise A2Z Cloud</t>
        </is>
      </c>
      <c r="B6" t="inlineStr">
        <is>
          <t>Renee Afambu (Hamlins LLP)</t>
        </is>
      </c>
      <c r="C6" t="inlineStr">
        <is>
          <t>Ian Hodgson</t>
        </is>
      </c>
      <c r="E6" t="inlineStr">
        <is>
          <t>Nightclub</t>
        </is>
      </c>
    </row>
    <row r="7">
      <c r="B7" t="inlineStr">
        <is>
          <t>Lucy Duff (Brodies LLP)</t>
        </is>
      </c>
      <c r="C7" t="inlineStr">
        <is>
          <t>Jane Dowson</t>
        </is>
      </c>
      <c r="E7" t="inlineStr">
        <is>
          <t>Stripclub</t>
        </is>
      </c>
    </row>
    <row r="8">
      <c r="B8" t="inlineStr">
        <is>
          <t>Other – advise A2Z Cloud</t>
        </is>
      </c>
      <c r="C8" t="inlineStr">
        <is>
          <t>Justine Ranson</t>
        </is>
      </c>
      <c r="E8" t="inlineStr">
        <is>
          <t>Gentleman's Club</t>
        </is>
      </c>
    </row>
    <row r="9">
      <c r="C9" t="inlineStr">
        <is>
          <t>Ken Farrell</t>
        </is>
      </c>
      <c r="E9" t="inlineStr">
        <is>
          <t>Shop</t>
        </is>
      </c>
    </row>
    <row r="10">
      <c r="C10" t="inlineStr">
        <is>
          <t>Mandi Astill</t>
        </is>
      </c>
      <c r="E10" t="inlineStr">
        <is>
          <t>Shop – High Street</t>
        </is>
      </c>
    </row>
    <row r="11">
      <c r="C11" t="inlineStr">
        <is>
          <t>Neil Beattie</t>
        </is>
      </c>
      <c r="E11" t="inlineStr">
        <is>
          <t>Shop – Warehouse/Industrial</t>
        </is>
      </c>
    </row>
    <row r="12">
      <c r="C12" t="inlineStr">
        <is>
          <t>Stuart Paton</t>
        </is>
      </c>
      <c r="E12" t="inlineStr">
        <is>
          <t>Beauty Salon</t>
        </is>
      </c>
    </row>
    <row r="13">
      <c r="C13" t="inlineStr">
        <is>
          <t>Tom Kell</t>
        </is>
      </c>
      <c r="E13" t="inlineStr">
        <is>
          <t>Barber (Gents)</t>
        </is>
      </c>
    </row>
    <row r="14">
      <c r="C14" t="inlineStr">
        <is>
          <t>Charles Clawson</t>
        </is>
      </c>
      <c r="E14" t="inlineStr">
        <is>
          <t>Hairdresser</t>
        </is>
      </c>
    </row>
    <row r="15">
      <c r="C15" t="inlineStr">
        <is>
          <t>Luke Terry</t>
        </is>
      </c>
      <c r="E15" t="inlineStr">
        <is>
          <t>Nail Salon</t>
        </is>
      </c>
    </row>
    <row r="16">
      <c r="C16" t="inlineStr">
        <is>
          <t>Adam McLean</t>
        </is>
      </c>
      <c r="E16" t="inlineStr">
        <is>
          <t>Tattoo Parlour</t>
        </is>
      </c>
    </row>
    <row r="17">
      <c r="C17" t="inlineStr">
        <is>
          <t>John McGowan</t>
        </is>
      </c>
      <c r="E17" t="inlineStr">
        <is>
          <t>Gym</t>
        </is>
      </c>
    </row>
    <row r="18">
      <c r="C18" t="inlineStr">
        <is>
          <t>Other – advise A2Z Cloud</t>
        </is>
      </c>
      <c r="E18" t="inlineStr">
        <is>
          <t>Hotel – Bedroom</t>
        </is>
      </c>
    </row>
    <row r="19">
      <c r="E19" t="inlineStr">
        <is>
          <t>Hotel – Common Areas</t>
        </is>
      </c>
    </row>
    <row r="20">
      <c r="E20" t="inlineStr">
        <is>
          <t>Festival</t>
        </is>
      </c>
    </row>
    <row r="21">
      <c r="E21" t="inlineStr">
        <is>
          <t>Other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2026-04-28T08:01:47Z</dcterms:created>
  <dcterms:modified xmlns:dcterms="http://purl.org/dc/terms/" xmlns:xsi="http://www.w3.org/2001/XMLSchema-instance" xsi:type="dcterms:W3CDTF">2026-04-28T08:01:47Z</dcterms:modified>
</cp:coreProperties>
</file>