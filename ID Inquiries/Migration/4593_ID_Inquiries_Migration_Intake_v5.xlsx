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github\A2Z-Customer-Reference\ID Inquiries\Migration\"/>
    </mc:Choice>
  </mc:AlternateContent>
  <xr:revisionPtr revIDLastSave="0" documentId="13_ncr:1_{5BDA281F-EE07-43AC-997C-76F2CDD147EE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Instructions" sheetId="1" r:id="rId1"/>
    <sheet name="Client Accounts" sheetId="2" r:id="rId2"/>
    <sheet name="Clients" sheetId="3" r:id="rId3"/>
    <sheet name="Investigators" sheetId="4" r:id="rId4"/>
    <sheet name="Picklists" sheetId="5" state="hidden" r:id="rId5"/>
  </sheets>
  <definedNames>
    <definedName name="ActivatePortal">Picklists!$I$2:$I$3</definedName>
    <definedName name="Clients">Picklists!$B$2:$B$13</definedName>
    <definedName name="CouncilMethod">Picklists!$G$2:$G$4</definedName>
    <definedName name="CouncilResponse">Picklists!$H$2:$H$4</definedName>
    <definedName name="Firms">Picklists!$A$2:$A$6</definedName>
    <definedName name="InstructionStatus">Picklists!$D$2:$D$5</definedName>
    <definedName name="InstructionType">Picklists!$E$2:$E$21</definedName>
    <definedName name="Investigators">Picklists!$C$2:$C$18</definedName>
    <definedName name="YesNo">Picklists!$F$2:$F$3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404" i="1" l="1"/>
  <c r="X404" i="1" s="1"/>
  <c r="W403" i="1"/>
  <c r="X403" i="1" s="1"/>
  <c r="W402" i="1"/>
  <c r="X402" i="1" s="1"/>
  <c r="W401" i="1"/>
  <c r="X401" i="1" s="1"/>
  <c r="X400" i="1"/>
  <c r="W400" i="1"/>
  <c r="W399" i="1"/>
  <c r="X399" i="1" s="1"/>
  <c r="W398" i="1"/>
  <c r="X398" i="1" s="1"/>
  <c r="W397" i="1"/>
  <c r="X397" i="1" s="1"/>
  <c r="W396" i="1"/>
  <c r="X396" i="1" s="1"/>
  <c r="W395" i="1"/>
  <c r="X395" i="1" s="1"/>
  <c r="W394" i="1"/>
  <c r="X394" i="1" s="1"/>
  <c r="W393" i="1"/>
  <c r="X393" i="1" s="1"/>
  <c r="W392" i="1"/>
  <c r="X392" i="1" s="1"/>
  <c r="W391" i="1"/>
  <c r="X391" i="1" s="1"/>
  <c r="W390" i="1"/>
  <c r="X390" i="1" s="1"/>
  <c r="W389" i="1"/>
  <c r="X389" i="1" s="1"/>
  <c r="W388" i="1"/>
  <c r="X388" i="1" s="1"/>
  <c r="W387" i="1"/>
  <c r="X387" i="1" s="1"/>
  <c r="W386" i="1"/>
  <c r="X386" i="1" s="1"/>
  <c r="W385" i="1"/>
  <c r="X385" i="1" s="1"/>
  <c r="W384" i="1"/>
  <c r="X384" i="1" s="1"/>
  <c r="W383" i="1"/>
  <c r="X383" i="1" s="1"/>
  <c r="W382" i="1"/>
  <c r="X382" i="1" s="1"/>
  <c r="W381" i="1"/>
  <c r="X381" i="1" s="1"/>
  <c r="W380" i="1"/>
  <c r="X380" i="1" s="1"/>
  <c r="W379" i="1"/>
  <c r="X379" i="1" s="1"/>
  <c r="W378" i="1"/>
  <c r="X378" i="1" s="1"/>
  <c r="W377" i="1"/>
  <c r="X377" i="1" s="1"/>
  <c r="W376" i="1"/>
  <c r="X376" i="1" s="1"/>
  <c r="W375" i="1"/>
  <c r="X375" i="1" s="1"/>
  <c r="W374" i="1"/>
  <c r="X374" i="1" s="1"/>
  <c r="W373" i="1"/>
  <c r="X373" i="1" s="1"/>
  <c r="W372" i="1"/>
  <c r="X372" i="1" s="1"/>
  <c r="W371" i="1"/>
  <c r="X371" i="1" s="1"/>
  <c r="W370" i="1"/>
  <c r="X370" i="1" s="1"/>
  <c r="W369" i="1"/>
  <c r="X369" i="1" s="1"/>
  <c r="W368" i="1"/>
  <c r="X368" i="1" s="1"/>
  <c r="W367" i="1"/>
  <c r="X367" i="1" s="1"/>
  <c r="W366" i="1"/>
  <c r="X366" i="1" s="1"/>
  <c r="W365" i="1"/>
  <c r="X365" i="1" s="1"/>
  <c r="W364" i="1"/>
  <c r="X364" i="1" s="1"/>
  <c r="W363" i="1"/>
  <c r="X363" i="1" s="1"/>
  <c r="W362" i="1"/>
  <c r="X362" i="1" s="1"/>
  <c r="W361" i="1"/>
  <c r="X361" i="1" s="1"/>
  <c r="W360" i="1"/>
  <c r="X360" i="1" s="1"/>
  <c r="W359" i="1"/>
  <c r="X359" i="1" s="1"/>
  <c r="W358" i="1"/>
  <c r="X358" i="1" s="1"/>
  <c r="W357" i="1"/>
  <c r="X357" i="1" s="1"/>
  <c r="W356" i="1"/>
  <c r="X356" i="1" s="1"/>
  <c r="W355" i="1"/>
  <c r="X355" i="1" s="1"/>
  <c r="W354" i="1"/>
  <c r="X354" i="1" s="1"/>
  <c r="W353" i="1"/>
  <c r="X353" i="1" s="1"/>
  <c r="W352" i="1"/>
  <c r="X352" i="1" s="1"/>
  <c r="W351" i="1"/>
  <c r="X351" i="1" s="1"/>
  <c r="W350" i="1"/>
  <c r="X350" i="1" s="1"/>
  <c r="W349" i="1"/>
  <c r="X349" i="1" s="1"/>
  <c r="W348" i="1"/>
  <c r="X348" i="1" s="1"/>
  <c r="W347" i="1"/>
  <c r="X347" i="1" s="1"/>
  <c r="W346" i="1"/>
  <c r="X346" i="1" s="1"/>
  <c r="W345" i="1"/>
  <c r="X345" i="1" s="1"/>
  <c r="W344" i="1"/>
  <c r="X344" i="1" s="1"/>
  <c r="W343" i="1"/>
  <c r="X343" i="1" s="1"/>
  <c r="W342" i="1"/>
  <c r="X342" i="1" s="1"/>
  <c r="W341" i="1"/>
  <c r="X341" i="1" s="1"/>
  <c r="W340" i="1"/>
  <c r="X340" i="1" s="1"/>
  <c r="W339" i="1"/>
  <c r="X339" i="1" s="1"/>
  <c r="W338" i="1"/>
  <c r="X338" i="1" s="1"/>
  <c r="W337" i="1"/>
  <c r="X337" i="1" s="1"/>
  <c r="W336" i="1"/>
  <c r="X336" i="1" s="1"/>
  <c r="W335" i="1"/>
  <c r="X335" i="1" s="1"/>
  <c r="W334" i="1"/>
  <c r="X334" i="1" s="1"/>
  <c r="W333" i="1"/>
  <c r="X333" i="1" s="1"/>
  <c r="W332" i="1"/>
  <c r="X332" i="1" s="1"/>
  <c r="W331" i="1"/>
  <c r="X331" i="1" s="1"/>
  <c r="W330" i="1"/>
  <c r="X330" i="1" s="1"/>
  <c r="W329" i="1"/>
  <c r="X329" i="1" s="1"/>
  <c r="W328" i="1"/>
  <c r="X328" i="1" s="1"/>
  <c r="W327" i="1"/>
  <c r="X327" i="1" s="1"/>
  <c r="W326" i="1"/>
  <c r="X326" i="1" s="1"/>
  <c r="X325" i="1"/>
  <c r="W325" i="1"/>
  <c r="W324" i="1"/>
  <c r="X324" i="1" s="1"/>
  <c r="W323" i="1"/>
  <c r="X323" i="1" s="1"/>
  <c r="W322" i="1"/>
  <c r="X322" i="1" s="1"/>
  <c r="W321" i="1"/>
  <c r="X321" i="1" s="1"/>
  <c r="W320" i="1"/>
  <c r="X320" i="1" s="1"/>
  <c r="W319" i="1"/>
  <c r="X319" i="1" s="1"/>
  <c r="W318" i="1"/>
  <c r="X318" i="1" s="1"/>
  <c r="W317" i="1"/>
  <c r="X317" i="1" s="1"/>
  <c r="W316" i="1"/>
  <c r="X316" i="1" s="1"/>
  <c r="W315" i="1"/>
  <c r="X315" i="1" s="1"/>
  <c r="W314" i="1"/>
  <c r="X314" i="1" s="1"/>
  <c r="W313" i="1"/>
  <c r="X313" i="1" s="1"/>
  <c r="W312" i="1"/>
  <c r="X312" i="1" s="1"/>
  <c r="W311" i="1"/>
  <c r="X311" i="1" s="1"/>
  <c r="W310" i="1"/>
  <c r="X310" i="1" s="1"/>
  <c r="W309" i="1"/>
  <c r="X309" i="1" s="1"/>
  <c r="W308" i="1"/>
  <c r="X308" i="1" s="1"/>
  <c r="W307" i="1"/>
  <c r="X307" i="1" s="1"/>
  <c r="W306" i="1"/>
  <c r="X306" i="1" s="1"/>
  <c r="W305" i="1"/>
  <c r="X305" i="1" s="1"/>
  <c r="W304" i="1"/>
  <c r="X304" i="1" s="1"/>
  <c r="W303" i="1"/>
  <c r="X303" i="1" s="1"/>
  <c r="W302" i="1"/>
  <c r="X302" i="1" s="1"/>
  <c r="W301" i="1"/>
  <c r="X301" i="1" s="1"/>
  <c r="W300" i="1"/>
  <c r="X300" i="1" s="1"/>
  <c r="W299" i="1"/>
  <c r="X299" i="1" s="1"/>
  <c r="W298" i="1"/>
  <c r="X298" i="1" s="1"/>
  <c r="W297" i="1"/>
  <c r="X297" i="1" s="1"/>
  <c r="W296" i="1"/>
  <c r="X296" i="1" s="1"/>
  <c r="W295" i="1"/>
  <c r="X295" i="1" s="1"/>
  <c r="W294" i="1"/>
  <c r="X294" i="1" s="1"/>
  <c r="W293" i="1"/>
  <c r="X293" i="1" s="1"/>
  <c r="W292" i="1"/>
  <c r="X292" i="1" s="1"/>
  <c r="W291" i="1"/>
  <c r="X291" i="1" s="1"/>
  <c r="W290" i="1"/>
  <c r="X290" i="1" s="1"/>
  <c r="W289" i="1"/>
  <c r="X289" i="1" s="1"/>
  <c r="W288" i="1"/>
  <c r="X288" i="1" s="1"/>
  <c r="W287" i="1"/>
  <c r="X287" i="1" s="1"/>
  <c r="W286" i="1"/>
  <c r="X286" i="1" s="1"/>
  <c r="W285" i="1"/>
  <c r="X285" i="1" s="1"/>
  <c r="W284" i="1"/>
  <c r="X284" i="1" s="1"/>
  <c r="W283" i="1"/>
  <c r="X283" i="1" s="1"/>
  <c r="W282" i="1"/>
  <c r="X282" i="1" s="1"/>
  <c r="W281" i="1"/>
  <c r="X281" i="1" s="1"/>
  <c r="W280" i="1"/>
  <c r="X280" i="1" s="1"/>
  <c r="W279" i="1"/>
  <c r="X279" i="1" s="1"/>
  <c r="W278" i="1"/>
  <c r="X278" i="1" s="1"/>
  <c r="W277" i="1"/>
  <c r="X277" i="1" s="1"/>
  <c r="W276" i="1"/>
  <c r="X276" i="1" s="1"/>
  <c r="W275" i="1"/>
  <c r="X275" i="1" s="1"/>
  <c r="W274" i="1"/>
  <c r="X274" i="1" s="1"/>
  <c r="W273" i="1"/>
  <c r="X273" i="1" s="1"/>
  <c r="W272" i="1"/>
  <c r="X272" i="1" s="1"/>
  <c r="W271" i="1"/>
  <c r="X271" i="1" s="1"/>
  <c r="W270" i="1"/>
  <c r="X270" i="1" s="1"/>
  <c r="W269" i="1"/>
  <c r="X269" i="1" s="1"/>
  <c r="W268" i="1"/>
  <c r="X268" i="1" s="1"/>
  <c r="W267" i="1"/>
  <c r="X267" i="1" s="1"/>
  <c r="W266" i="1"/>
  <c r="X266" i="1" s="1"/>
  <c r="W265" i="1"/>
  <c r="X265" i="1" s="1"/>
  <c r="W264" i="1"/>
  <c r="X264" i="1" s="1"/>
  <c r="W263" i="1"/>
  <c r="X263" i="1" s="1"/>
  <c r="W262" i="1"/>
  <c r="X262" i="1" s="1"/>
  <c r="W261" i="1"/>
  <c r="X261" i="1" s="1"/>
  <c r="W260" i="1"/>
  <c r="X260" i="1" s="1"/>
  <c r="W259" i="1"/>
  <c r="X259" i="1" s="1"/>
  <c r="W258" i="1"/>
  <c r="X258" i="1" s="1"/>
  <c r="W257" i="1"/>
  <c r="X257" i="1" s="1"/>
  <c r="W256" i="1"/>
  <c r="X256" i="1" s="1"/>
  <c r="W255" i="1"/>
  <c r="X255" i="1" s="1"/>
  <c r="W254" i="1"/>
  <c r="X254" i="1" s="1"/>
  <c r="W253" i="1"/>
  <c r="X253" i="1" s="1"/>
  <c r="W252" i="1"/>
  <c r="X252" i="1" s="1"/>
  <c r="W251" i="1"/>
  <c r="X251" i="1" s="1"/>
  <c r="W250" i="1"/>
  <c r="X250" i="1" s="1"/>
  <c r="W249" i="1"/>
  <c r="X249" i="1" s="1"/>
  <c r="W248" i="1"/>
  <c r="X248" i="1" s="1"/>
  <c r="W247" i="1"/>
  <c r="X247" i="1" s="1"/>
  <c r="X246" i="1"/>
  <c r="W246" i="1"/>
  <c r="W245" i="1"/>
  <c r="X245" i="1" s="1"/>
  <c r="W244" i="1"/>
  <c r="X244" i="1" s="1"/>
  <c r="W243" i="1"/>
  <c r="X243" i="1" s="1"/>
  <c r="W242" i="1"/>
  <c r="X242" i="1" s="1"/>
  <c r="W241" i="1"/>
  <c r="X241" i="1" s="1"/>
  <c r="W240" i="1"/>
  <c r="X240" i="1" s="1"/>
  <c r="W239" i="1"/>
  <c r="X239" i="1" s="1"/>
  <c r="W238" i="1"/>
  <c r="X238" i="1" s="1"/>
  <c r="W237" i="1"/>
  <c r="X237" i="1" s="1"/>
  <c r="W236" i="1"/>
  <c r="X236" i="1" s="1"/>
  <c r="W235" i="1"/>
  <c r="X235" i="1" s="1"/>
  <c r="W234" i="1"/>
  <c r="X234" i="1" s="1"/>
  <c r="W233" i="1"/>
  <c r="X233" i="1" s="1"/>
  <c r="W232" i="1"/>
  <c r="X232" i="1" s="1"/>
  <c r="W231" i="1"/>
  <c r="X231" i="1" s="1"/>
  <c r="W230" i="1"/>
  <c r="X230" i="1" s="1"/>
  <c r="W229" i="1"/>
  <c r="X229" i="1" s="1"/>
  <c r="W228" i="1"/>
  <c r="X228" i="1" s="1"/>
  <c r="W227" i="1"/>
  <c r="X227" i="1" s="1"/>
  <c r="W226" i="1"/>
  <c r="X226" i="1" s="1"/>
  <c r="W225" i="1"/>
  <c r="X225" i="1" s="1"/>
  <c r="W224" i="1"/>
  <c r="X224" i="1" s="1"/>
  <c r="W223" i="1"/>
  <c r="X223" i="1" s="1"/>
  <c r="W222" i="1"/>
  <c r="X222" i="1" s="1"/>
  <c r="W221" i="1"/>
  <c r="X221" i="1" s="1"/>
  <c r="W220" i="1"/>
  <c r="X220" i="1" s="1"/>
  <c r="W219" i="1"/>
  <c r="X219" i="1" s="1"/>
  <c r="W218" i="1"/>
  <c r="X218" i="1" s="1"/>
  <c r="W217" i="1"/>
  <c r="X217" i="1" s="1"/>
  <c r="W216" i="1"/>
  <c r="X216" i="1" s="1"/>
  <c r="W215" i="1"/>
  <c r="X215" i="1" s="1"/>
  <c r="W214" i="1"/>
  <c r="X214" i="1" s="1"/>
  <c r="W213" i="1"/>
  <c r="X213" i="1" s="1"/>
  <c r="W212" i="1"/>
  <c r="X212" i="1" s="1"/>
  <c r="W211" i="1"/>
  <c r="X211" i="1" s="1"/>
  <c r="W210" i="1"/>
  <c r="X210" i="1" s="1"/>
  <c r="W209" i="1"/>
  <c r="X209" i="1" s="1"/>
  <c r="W208" i="1"/>
  <c r="X208" i="1" s="1"/>
  <c r="W207" i="1"/>
  <c r="X207" i="1" s="1"/>
  <c r="W206" i="1"/>
  <c r="X206" i="1" s="1"/>
  <c r="W205" i="1"/>
  <c r="X205" i="1" s="1"/>
  <c r="W204" i="1"/>
  <c r="X204" i="1" s="1"/>
  <c r="W203" i="1"/>
  <c r="X203" i="1" s="1"/>
  <c r="W202" i="1"/>
  <c r="X202" i="1" s="1"/>
  <c r="W201" i="1"/>
  <c r="X201" i="1" s="1"/>
  <c r="W200" i="1"/>
  <c r="X200" i="1" s="1"/>
  <c r="W199" i="1"/>
  <c r="X199" i="1" s="1"/>
  <c r="W198" i="1"/>
  <c r="X198" i="1" s="1"/>
  <c r="W197" i="1"/>
  <c r="X197" i="1" s="1"/>
  <c r="W196" i="1"/>
  <c r="X196" i="1" s="1"/>
  <c r="W195" i="1"/>
  <c r="X195" i="1" s="1"/>
  <c r="W194" i="1"/>
  <c r="X194" i="1" s="1"/>
  <c r="W193" i="1"/>
  <c r="X193" i="1" s="1"/>
  <c r="W192" i="1"/>
  <c r="X192" i="1" s="1"/>
  <c r="W191" i="1"/>
  <c r="X191" i="1" s="1"/>
  <c r="W190" i="1"/>
  <c r="X190" i="1" s="1"/>
  <c r="W189" i="1"/>
  <c r="X189" i="1" s="1"/>
  <c r="W188" i="1"/>
  <c r="X188" i="1" s="1"/>
  <c r="W187" i="1"/>
  <c r="X187" i="1" s="1"/>
  <c r="W186" i="1"/>
  <c r="X186" i="1" s="1"/>
  <c r="W185" i="1"/>
  <c r="X185" i="1" s="1"/>
  <c r="W184" i="1"/>
  <c r="X184" i="1" s="1"/>
  <c r="W183" i="1"/>
  <c r="X183" i="1" s="1"/>
  <c r="W182" i="1"/>
  <c r="X182" i="1" s="1"/>
  <c r="W181" i="1"/>
  <c r="X181" i="1" s="1"/>
  <c r="W180" i="1"/>
  <c r="X180" i="1" s="1"/>
  <c r="W179" i="1"/>
  <c r="X179" i="1" s="1"/>
  <c r="W178" i="1"/>
  <c r="X178" i="1" s="1"/>
  <c r="W177" i="1"/>
  <c r="X177" i="1" s="1"/>
  <c r="W176" i="1"/>
  <c r="X176" i="1" s="1"/>
  <c r="W175" i="1"/>
  <c r="X175" i="1" s="1"/>
  <c r="W174" i="1"/>
  <c r="X174" i="1" s="1"/>
  <c r="W173" i="1"/>
  <c r="X173" i="1" s="1"/>
  <c r="W172" i="1"/>
  <c r="X172" i="1" s="1"/>
  <c r="W171" i="1"/>
  <c r="X171" i="1" s="1"/>
  <c r="W170" i="1"/>
  <c r="X170" i="1" s="1"/>
  <c r="W169" i="1"/>
  <c r="X169" i="1" s="1"/>
  <c r="X168" i="1"/>
  <c r="W168" i="1"/>
  <c r="W167" i="1"/>
  <c r="X167" i="1" s="1"/>
  <c r="W166" i="1"/>
  <c r="X166" i="1" s="1"/>
  <c r="W165" i="1"/>
  <c r="X165" i="1" s="1"/>
  <c r="W164" i="1"/>
  <c r="X164" i="1" s="1"/>
  <c r="W163" i="1"/>
  <c r="X163" i="1" s="1"/>
  <c r="W162" i="1"/>
  <c r="X162" i="1" s="1"/>
  <c r="W161" i="1"/>
  <c r="X161" i="1" s="1"/>
  <c r="W160" i="1"/>
  <c r="X160" i="1" s="1"/>
  <c r="W159" i="1"/>
  <c r="X159" i="1" s="1"/>
  <c r="W158" i="1"/>
  <c r="X158" i="1" s="1"/>
  <c r="W157" i="1"/>
  <c r="X157" i="1" s="1"/>
  <c r="W156" i="1"/>
  <c r="X156" i="1" s="1"/>
  <c r="W155" i="1"/>
  <c r="X155" i="1" s="1"/>
  <c r="W154" i="1"/>
  <c r="X154" i="1" s="1"/>
  <c r="W153" i="1"/>
  <c r="X153" i="1" s="1"/>
  <c r="W152" i="1"/>
  <c r="X152" i="1" s="1"/>
  <c r="W151" i="1"/>
  <c r="X151" i="1" s="1"/>
  <c r="W150" i="1"/>
  <c r="X150" i="1" s="1"/>
  <c r="W149" i="1"/>
  <c r="X149" i="1" s="1"/>
  <c r="W148" i="1"/>
  <c r="X148" i="1" s="1"/>
  <c r="W147" i="1"/>
  <c r="X147" i="1" s="1"/>
  <c r="W146" i="1"/>
  <c r="X146" i="1" s="1"/>
  <c r="W145" i="1"/>
  <c r="X145" i="1" s="1"/>
  <c r="W144" i="1"/>
  <c r="X144" i="1" s="1"/>
  <c r="W143" i="1"/>
  <c r="X143" i="1" s="1"/>
  <c r="W142" i="1"/>
  <c r="X142" i="1" s="1"/>
  <c r="W141" i="1"/>
  <c r="X141" i="1" s="1"/>
  <c r="W140" i="1"/>
  <c r="X140" i="1" s="1"/>
  <c r="W139" i="1"/>
  <c r="X139" i="1" s="1"/>
  <c r="W138" i="1"/>
  <c r="X138" i="1" s="1"/>
  <c r="W137" i="1"/>
  <c r="X137" i="1" s="1"/>
  <c r="W136" i="1"/>
  <c r="X136" i="1" s="1"/>
  <c r="W135" i="1"/>
  <c r="X135" i="1" s="1"/>
  <c r="W134" i="1"/>
  <c r="X134" i="1" s="1"/>
  <c r="W133" i="1"/>
  <c r="X133" i="1" s="1"/>
  <c r="W132" i="1"/>
  <c r="X132" i="1" s="1"/>
  <c r="W131" i="1"/>
  <c r="X131" i="1" s="1"/>
  <c r="W130" i="1"/>
  <c r="X130" i="1" s="1"/>
  <c r="W129" i="1"/>
  <c r="X129" i="1" s="1"/>
  <c r="W128" i="1"/>
  <c r="X128" i="1" s="1"/>
  <c r="W127" i="1"/>
  <c r="X127" i="1" s="1"/>
  <c r="W126" i="1"/>
  <c r="X126" i="1" s="1"/>
  <c r="W125" i="1"/>
  <c r="X125" i="1" s="1"/>
  <c r="W124" i="1"/>
  <c r="X124" i="1" s="1"/>
  <c r="W123" i="1"/>
  <c r="X123" i="1" s="1"/>
  <c r="W122" i="1"/>
  <c r="X122" i="1" s="1"/>
  <c r="W121" i="1"/>
  <c r="X121" i="1" s="1"/>
  <c r="W120" i="1"/>
  <c r="X120" i="1" s="1"/>
  <c r="W119" i="1"/>
  <c r="X119" i="1" s="1"/>
  <c r="W118" i="1"/>
  <c r="X118" i="1" s="1"/>
  <c r="W117" i="1"/>
  <c r="X117" i="1" s="1"/>
  <c r="W116" i="1"/>
  <c r="X116" i="1" s="1"/>
  <c r="W115" i="1"/>
  <c r="X115" i="1" s="1"/>
  <c r="W114" i="1"/>
  <c r="X114" i="1" s="1"/>
  <c r="W113" i="1"/>
  <c r="X113" i="1" s="1"/>
  <c r="W112" i="1"/>
  <c r="X112" i="1" s="1"/>
  <c r="W111" i="1"/>
  <c r="X111" i="1" s="1"/>
  <c r="W110" i="1"/>
  <c r="X110" i="1" s="1"/>
  <c r="W109" i="1"/>
  <c r="X109" i="1" s="1"/>
  <c r="W108" i="1"/>
  <c r="X108" i="1" s="1"/>
  <c r="W107" i="1"/>
  <c r="X107" i="1" s="1"/>
  <c r="W106" i="1"/>
  <c r="X106" i="1" s="1"/>
  <c r="W105" i="1"/>
  <c r="X105" i="1" s="1"/>
  <c r="W104" i="1"/>
  <c r="X104" i="1" s="1"/>
  <c r="W103" i="1"/>
  <c r="X103" i="1" s="1"/>
  <c r="W102" i="1"/>
  <c r="X102" i="1" s="1"/>
  <c r="W101" i="1"/>
  <c r="X101" i="1" s="1"/>
  <c r="W100" i="1"/>
  <c r="X100" i="1" s="1"/>
  <c r="W99" i="1"/>
  <c r="X99" i="1" s="1"/>
  <c r="W98" i="1"/>
  <c r="X98" i="1" s="1"/>
  <c r="W97" i="1"/>
  <c r="X97" i="1" s="1"/>
  <c r="W96" i="1"/>
  <c r="X96" i="1" s="1"/>
  <c r="W95" i="1"/>
  <c r="X95" i="1" s="1"/>
  <c r="W94" i="1"/>
  <c r="X94" i="1" s="1"/>
  <c r="W93" i="1"/>
  <c r="X93" i="1" s="1"/>
  <c r="W92" i="1"/>
  <c r="X92" i="1" s="1"/>
  <c r="W91" i="1"/>
  <c r="X91" i="1" s="1"/>
  <c r="W90" i="1"/>
  <c r="X90" i="1" s="1"/>
  <c r="W89" i="1"/>
  <c r="X89" i="1" s="1"/>
  <c r="W88" i="1"/>
  <c r="X88" i="1" s="1"/>
  <c r="W87" i="1"/>
  <c r="X87" i="1" s="1"/>
  <c r="W86" i="1"/>
  <c r="X86" i="1" s="1"/>
  <c r="W85" i="1"/>
  <c r="X85" i="1" s="1"/>
  <c r="W84" i="1"/>
  <c r="X84" i="1" s="1"/>
  <c r="W83" i="1"/>
  <c r="X83" i="1" s="1"/>
  <c r="W82" i="1"/>
  <c r="X82" i="1" s="1"/>
  <c r="W81" i="1"/>
  <c r="X81" i="1" s="1"/>
  <c r="W80" i="1"/>
  <c r="X80" i="1" s="1"/>
  <c r="W79" i="1"/>
  <c r="X79" i="1" s="1"/>
  <c r="W78" i="1"/>
  <c r="X78" i="1" s="1"/>
  <c r="W77" i="1"/>
  <c r="X77" i="1" s="1"/>
  <c r="W76" i="1"/>
  <c r="X76" i="1" s="1"/>
  <c r="W75" i="1"/>
  <c r="X75" i="1" s="1"/>
  <c r="W74" i="1"/>
  <c r="X74" i="1" s="1"/>
  <c r="W73" i="1"/>
  <c r="X73" i="1" s="1"/>
  <c r="W72" i="1"/>
  <c r="X72" i="1" s="1"/>
  <c r="W71" i="1"/>
  <c r="X71" i="1" s="1"/>
  <c r="W70" i="1"/>
  <c r="X70" i="1" s="1"/>
  <c r="W69" i="1"/>
  <c r="X69" i="1" s="1"/>
  <c r="W68" i="1"/>
  <c r="X68" i="1" s="1"/>
  <c r="W67" i="1"/>
  <c r="X67" i="1" s="1"/>
  <c r="W66" i="1"/>
  <c r="X66" i="1" s="1"/>
  <c r="W65" i="1"/>
  <c r="X65" i="1" s="1"/>
  <c r="W64" i="1"/>
  <c r="X64" i="1" s="1"/>
  <c r="W63" i="1"/>
  <c r="X63" i="1" s="1"/>
  <c r="W62" i="1"/>
  <c r="X62" i="1" s="1"/>
  <c r="W61" i="1"/>
  <c r="X61" i="1" s="1"/>
  <c r="W60" i="1"/>
  <c r="X60" i="1" s="1"/>
  <c r="W59" i="1"/>
  <c r="X59" i="1" s="1"/>
  <c r="W58" i="1"/>
  <c r="X58" i="1" s="1"/>
  <c r="W57" i="1"/>
  <c r="X57" i="1" s="1"/>
  <c r="W56" i="1"/>
  <c r="X56" i="1" s="1"/>
  <c r="W55" i="1"/>
  <c r="X55" i="1" s="1"/>
  <c r="W54" i="1"/>
  <c r="X54" i="1" s="1"/>
  <c r="W53" i="1"/>
  <c r="X53" i="1" s="1"/>
  <c r="W52" i="1"/>
  <c r="X52" i="1" s="1"/>
  <c r="W51" i="1"/>
  <c r="X51" i="1" s="1"/>
  <c r="W50" i="1"/>
  <c r="X50" i="1" s="1"/>
  <c r="W49" i="1"/>
  <c r="X49" i="1" s="1"/>
  <c r="W48" i="1"/>
  <c r="X48" i="1" s="1"/>
  <c r="W47" i="1"/>
  <c r="X47" i="1" s="1"/>
  <c r="W46" i="1"/>
  <c r="X46" i="1" s="1"/>
  <c r="W45" i="1"/>
  <c r="X45" i="1" s="1"/>
  <c r="W44" i="1"/>
  <c r="X44" i="1" s="1"/>
  <c r="W43" i="1"/>
  <c r="X43" i="1" s="1"/>
  <c r="W42" i="1"/>
  <c r="X42" i="1" s="1"/>
  <c r="W41" i="1"/>
  <c r="X41" i="1" s="1"/>
  <c r="W40" i="1"/>
  <c r="X40" i="1" s="1"/>
  <c r="W39" i="1"/>
  <c r="X39" i="1" s="1"/>
  <c r="W38" i="1"/>
  <c r="X38" i="1" s="1"/>
  <c r="W37" i="1"/>
  <c r="X37" i="1" s="1"/>
  <c r="W36" i="1"/>
  <c r="X36" i="1" s="1"/>
  <c r="W35" i="1"/>
  <c r="X35" i="1" s="1"/>
  <c r="W34" i="1"/>
  <c r="X34" i="1" s="1"/>
  <c r="W33" i="1"/>
  <c r="X33" i="1" s="1"/>
  <c r="W32" i="1"/>
  <c r="X32" i="1" s="1"/>
  <c r="W31" i="1"/>
  <c r="X31" i="1" s="1"/>
  <c r="W30" i="1"/>
  <c r="X30" i="1" s="1"/>
  <c r="W29" i="1"/>
  <c r="X29" i="1" s="1"/>
  <c r="W28" i="1"/>
  <c r="X28" i="1" s="1"/>
  <c r="W27" i="1"/>
  <c r="X27" i="1" s="1"/>
  <c r="W26" i="1"/>
  <c r="X26" i="1" s="1"/>
  <c r="W25" i="1"/>
  <c r="X25" i="1" s="1"/>
  <c r="W24" i="1"/>
  <c r="X24" i="1" s="1"/>
  <c r="W23" i="1"/>
  <c r="X23" i="1" s="1"/>
  <c r="W22" i="1"/>
  <c r="X22" i="1" s="1"/>
  <c r="W21" i="1"/>
  <c r="X21" i="1" s="1"/>
  <c r="W20" i="1"/>
  <c r="X20" i="1" s="1"/>
  <c r="W19" i="1"/>
  <c r="X19" i="1" s="1"/>
  <c r="W18" i="1"/>
  <c r="X18" i="1" s="1"/>
  <c r="W17" i="1"/>
  <c r="X17" i="1" s="1"/>
  <c r="W16" i="1"/>
  <c r="X16" i="1" s="1"/>
  <c r="W15" i="1"/>
  <c r="X15" i="1" s="1"/>
  <c r="W14" i="1"/>
  <c r="X14" i="1" s="1"/>
  <c r="W13" i="1"/>
  <c r="X13" i="1" s="1"/>
  <c r="W12" i="1"/>
  <c r="X12" i="1" s="1"/>
  <c r="W11" i="1"/>
  <c r="X11" i="1" s="1"/>
  <c r="W10" i="1"/>
  <c r="X10" i="1" s="1"/>
  <c r="W9" i="1"/>
  <c r="X9" i="1" s="1"/>
  <c r="W8" i="1"/>
  <c r="X8" i="1" s="1"/>
  <c r="W7" i="1"/>
  <c r="X7" i="1" s="1"/>
  <c r="W6" i="1"/>
  <c r="X6" i="1" s="1"/>
  <c r="W5" i="1"/>
  <c r="X5" i="1" s="1"/>
</calcChain>
</file>

<file path=xl/sharedStrings.xml><?xml version="1.0" encoding="utf-8"?>
<sst xmlns="http://schemas.openxmlformats.org/spreadsheetml/2006/main" count="434" uniqueCount="329">
  <si>
    <t>PREMISES</t>
  </si>
  <si>
    <t>INSTRUCTION</t>
  </si>
  <si>
    <t>INVESTIGATOR</t>
  </si>
  <si>
    <t>LICENCE CHECK</t>
  </si>
  <si>
    <t>DIAGNOSTICS</t>
  </si>
  <si>
    <t>Premises Name *</t>
  </si>
  <si>
    <t>Street Address *</t>
  </si>
  <si>
    <t>City *</t>
  </si>
  <si>
    <t>County</t>
  </si>
  <si>
    <t>Postcode *</t>
  </si>
  <si>
    <t>Licensing Authority *</t>
  </si>
  <si>
    <t>Premises Licence Holder</t>
  </si>
  <si>
    <t>DPS</t>
  </si>
  <si>
    <t>Instruction Status *</t>
  </si>
  <si>
    <t>Instructing Company *</t>
  </si>
  <si>
    <t>Instructing Client *</t>
  </si>
  <si>
    <t>Client Ref</t>
  </si>
  <si>
    <t>Date of Instruction *</t>
  </si>
  <si>
    <t>Instruction Type *</t>
  </si>
  <si>
    <t>Is Reinstruction? *</t>
  </si>
  <si>
    <t>Instruction Notes</t>
  </si>
  <si>
    <t>Investigator Assigned</t>
  </si>
  <si>
    <t>Date Assigned</t>
  </si>
  <si>
    <t>Council Request Method</t>
  </si>
  <si>
    <t>Council Request Date</t>
  </si>
  <si>
    <t>Council Response?</t>
  </si>
  <si>
    <t>Licence Check Notes</t>
  </si>
  <si>
    <t>Row Status</t>
  </si>
  <si>
    <t>Missing Fields</t>
  </si>
  <si>
    <t>Name of the licensed venue exactly as on the licence.</t>
  </si>
  <si>
    <t>Full street address.</t>
  </si>
  <si>
    <t>Town or city.</t>
  </si>
  <si>
    <t>County (optional).</t>
  </si>
  <si>
    <t>Full UK postcode.</t>
  </si>
  <si>
    <t>Council that issued the licence.</t>
  </si>
  <si>
    <t>Legal entity holding the premises licence.</t>
  </si>
  <si>
    <t>Designated Premises Supervisor full name.</t>
  </si>
  <si>
    <t>Current status of this instruction.</t>
  </si>
  <si>
    <t>Law firm.</t>
  </si>
  <si>
    <t>Individual lawyer (firm in brackets).</t>
  </si>
  <si>
    <t>Client's own reference number.</t>
  </si>
  <si>
    <t>DD/MM/YYYY.</t>
  </si>
  <si>
    <t>Venue type.</t>
  </si>
  <si>
    <t>Repeat visit to same premises?</t>
  </si>
  <si>
    <t>Special instructions for the investigator.</t>
  </si>
  <si>
    <t>Required IF Status = Allocated.</t>
  </si>
  <si>
    <t>Required IF Status = Allocated. DD/MM/YYYY.</t>
  </si>
  <si>
    <t>How licence details were requested.</t>
  </si>
  <si>
    <t>Date council was contacted. DD/MM/YYYY.</t>
  </si>
  <si>
    <t>Has the council responded?</t>
  </si>
  <si>
    <t>Required IF Council Response = Yes.</t>
  </si>
  <si>
    <t>Auto-calculated.</t>
  </si>
  <si>
    <t>The Swan Inn</t>
  </si>
  <si>
    <t>14 Greengate Street</t>
  </si>
  <si>
    <t>Stafford</t>
  </si>
  <si>
    <t>Staffordshire</t>
  </si>
  <si>
    <t>ST16 3RW</t>
  </si>
  <si>
    <t>Staffordshire County Council</t>
  </si>
  <si>
    <t>Trust Inns Ltd</t>
  </si>
  <si>
    <t>Edward Paul Bolton</t>
  </si>
  <si>
    <t>On Hold</t>
  </si>
  <si>
    <t>Hamlins LLP</t>
  </si>
  <si>
    <t>Michael Green (Hamlins LLP)</t>
  </si>
  <si>
    <t>591/PPLPRS1734</t>
  </si>
  <si>
    <t>02/05/2024</t>
  </si>
  <si>
    <t>Pub/Bar – background</t>
  </si>
  <si>
    <t>No</t>
  </si>
  <si>
    <t>Confirm Licensee and DPS. Attempt to obtain bank details.</t>
  </si>
  <si>
    <t>Gary Hall</t>
  </si>
  <si>
    <t>16/05/2024</t>
  </si>
  <si>
    <t>Public Register Online</t>
  </si>
  <si>
    <t>07/05/2024</t>
  </si>
  <si>
    <t>Yes</t>
  </si>
  <si>
    <t>Email from Michael asking to put on hold — linked premises found.</t>
  </si>
  <si>
    <t>Client Accounts — law firms you've already shared with us. Add any new firms in the empty rows below.</t>
  </si>
  <si>
    <t>Client Account Owner</t>
  </si>
  <si>
    <t>Rating</t>
  </si>
  <si>
    <t>Client Account Name</t>
  </si>
  <si>
    <t>Phone</t>
  </si>
  <si>
    <t>Parent Client Account</t>
  </si>
  <si>
    <t>Website</t>
  </si>
  <si>
    <t>Ticker Symbol</t>
  </si>
  <si>
    <t>Client Account Type</t>
  </si>
  <si>
    <t>Ownership</t>
  </si>
  <si>
    <t>Industry</t>
  </si>
  <si>
    <t>Billing Street</t>
  </si>
  <si>
    <t>Billing City</t>
  </si>
  <si>
    <t>Billing State</t>
  </si>
  <si>
    <t>Billing Code</t>
  </si>
  <si>
    <t>Billing Country</t>
  </si>
  <si>
    <t>Client Account Number</t>
  </si>
  <si>
    <t>Client Account Site</t>
  </si>
  <si>
    <t>ID Inquiries Admin</t>
  </si>
  <si>
    <t>Active</t>
  </si>
  <si>
    <t>Test Client Account 1</t>
  </si>
  <si>
    <t>Analyst</t>
  </si>
  <si>
    <t>Private</t>
  </si>
  <si>
    <t>Large Enterprise</t>
  </si>
  <si>
    <t>0207 355 6000</t>
  </si>
  <si>
    <t>www.hamlins.com</t>
  </si>
  <si>
    <t>Legal</t>
  </si>
  <si>
    <t>1 Kingsway</t>
  </si>
  <si>
    <t>London</t>
  </si>
  <si>
    <t>WC2B 6AN</t>
  </si>
  <si>
    <t>Seddons-GSC</t>
  </si>
  <si>
    <t>active</t>
  </si>
  <si>
    <t>0207 725 8000</t>
  </si>
  <si>
    <t>www.seddons-gsc.com</t>
  </si>
  <si>
    <t>120 New Cavendish Street</t>
  </si>
  <si>
    <t>W1W 6XX</t>
  </si>
  <si>
    <t>Brodies LLP</t>
  </si>
  <si>
    <t>Non Active</t>
  </si>
  <si>
    <t>0141 248 4672</t>
  </si>
  <si>
    <t>www.brodies.com</t>
  </si>
  <si>
    <t>110 Queen Street</t>
  </si>
  <si>
    <t>Glasgow</t>
  </si>
  <si>
    <t>G1 3BX</t>
  </si>
  <si>
    <t>Burness Paull LLP</t>
  </si>
  <si>
    <t>0141 248 4933</t>
  </si>
  <si>
    <t>www.burnesspaull.com</t>
  </si>
  <si>
    <t>31 York Street</t>
  </si>
  <si>
    <t>G2 8AS</t>
  </si>
  <si>
    <t>Clients — lawyers you've already shared with us. Add any new contacts in the empty rows below.</t>
  </si>
  <si>
    <t>Client Name</t>
  </si>
  <si>
    <t>Email</t>
  </si>
  <si>
    <t>Melissa Anderson</t>
  </si>
  <si>
    <t>a2zuatmelissa@gmail.com</t>
  </si>
  <si>
    <t>Kirsty Lawrence</t>
  </si>
  <si>
    <t>kirsty.lawrence@hamlins.com</t>
  </si>
  <si>
    <t>0207 355 6060</t>
  </si>
  <si>
    <t>Wendy Farrow</t>
  </si>
  <si>
    <t>wendy.farrow@hamlins.com</t>
  </si>
  <si>
    <t>Martin Ochs</t>
  </si>
  <si>
    <t>martin.ochs@hamlins.com</t>
  </si>
  <si>
    <t>0207 355 6018</t>
  </si>
  <si>
    <t>Michael Green</t>
  </si>
  <si>
    <t>michael.green@hamlins.com</t>
  </si>
  <si>
    <t>0203 927 0100</t>
  </si>
  <si>
    <t>Renee Afambu</t>
  </si>
  <si>
    <t>renee.afambu@hamlins.com</t>
  </si>
  <si>
    <t>0203 927 0096</t>
  </si>
  <si>
    <t>Lucy Duff</t>
  </si>
  <si>
    <t>lucy.duff@brodies.com</t>
  </si>
  <si>
    <t>0141 245 6283</t>
  </si>
  <si>
    <t>Liwia Malecka</t>
  </si>
  <si>
    <t>Liwia.Maleka@seddons-gsc.com</t>
  </si>
  <si>
    <t>0207 822 2225</t>
  </si>
  <si>
    <t>Nida Khan</t>
  </si>
  <si>
    <t>Nida.Khan@seddons-gsc.com</t>
  </si>
  <si>
    <t>0207 822 2222</t>
  </si>
  <si>
    <t>Max Evans</t>
  </si>
  <si>
    <t>Max.Evans@seddons-gsc.com</t>
  </si>
  <si>
    <t>0207 725 8040</t>
  </si>
  <si>
    <t>Ross Waldram</t>
  </si>
  <si>
    <t>Ross.Waldram@seddons-gsc.com</t>
  </si>
  <si>
    <t>0207 822 2236</t>
  </si>
  <si>
    <t>Justin Goldspink</t>
  </si>
  <si>
    <t>Justin.Goldspink@seddons-gsc.com</t>
  </si>
  <si>
    <t>Investigators — investigators you've already shared with us. Add any new investigators in the empty rows below.</t>
  </si>
  <si>
    <t>Investigator Name</t>
  </si>
  <si>
    <t>City</t>
  </si>
  <si>
    <t>Postal Code</t>
  </si>
  <si>
    <t>Country</t>
  </si>
  <si>
    <t>Address Line 1</t>
  </si>
  <si>
    <t>Exclusions</t>
  </si>
  <si>
    <t>Skillset</t>
  </si>
  <si>
    <t>Areas Covered</t>
  </si>
  <si>
    <t>Rate per hour</t>
  </si>
  <si>
    <t>Rate per mile</t>
  </si>
  <si>
    <t>Mathew MacMillan</t>
  </si>
  <si>
    <t>a2zuatmathew@gmail.com</t>
  </si>
  <si>
    <t>West Central Scotland</t>
  </si>
  <si>
    <t>G2 5UB</t>
  </si>
  <si>
    <t>Scotland</t>
  </si>
  <si>
    <t>200 Broomielaw</t>
  </si>
  <si>
    <t>Nightclub;Gym</t>
  </si>
  <si>
    <t>Scotland;North East</t>
  </si>
  <si>
    <t>Dan Blowes</t>
  </si>
  <si>
    <t>dan_b500@yahoo.co.uk</t>
  </si>
  <si>
    <t>Liverpool</t>
  </si>
  <si>
    <t>Merseyside</t>
  </si>
  <si>
    <t>L19 2HQ</t>
  </si>
  <si>
    <t>England</t>
  </si>
  <si>
    <t>14 Kings Lynn Drive</t>
  </si>
  <si>
    <t>Physical challenges;cannot do stairs</t>
  </si>
  <si>
    <t>Universal</t>
  </si>
  <si>
    <t>North West, Wales</t>
  </si>
  <si>
    <t>David Garside</t>
  </si>
  <si>
    <t>drg1088@yahoo.co.uk</t>
  </si>
  <si>
    <t>Limehouse</t>
  </si>
  <si>
    <t>E14 8DP</t>
  </si>
  <si>
    <t>7 Narrow Street</t>
  </si>
  <si>
    <t>Gym: Barbers</t>
  </si>
  <si>
    <t xml:space="preserve">London </t>
  </si>
  <si>
    <t>garyhall@sky.com</t>
  </si>
  <si>
    <t>Bridgend</t>
  </si>
  <si>
    <t>Vale of Glamorgan</t>
  </si>
  <si>
    <t>CF31 3EY</t>
  </si>
  <si>
    <t>Wales</t>
  </si>
  <si>
    <t>31 Mount Earl</t>
  </si>
  <si>
    <t>Gym;Nightclub;Awkward and Difficult Instructions</t>
  </si>
  <si>
    <t>North West, Wales, London, West Midlands East Midlands, Yorkshire and the Humber, North East</t>
  </si>
  <si>
    <t>Ian Hodgson</t>
  </si>
  <si>
    <t>ianh4892@gmail.com</t>
  </si>
  <si>
    <t>Woodham Ferrers</t>
  </si>
  <si>
    <t>Essex</t>
  </si>
  <si>
    <t>CRM 8RQ</t>
  </si>
  <si>
    <t>Bay View, The Street</t>
  </si>
  <si>
    <t>Gym; Nightclub</t>
  </si>
  <si>
    <t>Simple instructions only,e.g. Restaurants</t>
  </si>
  <si>
    <t>South East, London</t>
  </si>
  <si>
    <t>Jane Dowson</t>
  </si>
  <si>
    <t>Jane.Dowson71@btinternet.com</t>
  </si>
  <si>
    <t>Tadcaster</t>
  </si>
  <si>
    <t>North Yorkshire</t>
  </si>
  <si>
    <t>LS24 9RN</t>
  </si>
  <si>
    <t>Elmfield Hall Lane, Church Fenton</t>
  </si>
  <si>
    <t>Nightclub; Gym</t>
  </si>
  <si>
    <t xml:space="preserve">Restricted </t>
  </si>
  <si>
    <t>Yorkshire, North East</t>
  </si>
  <si>
    <t>Justine Ranson</t>
  </si>
  <si>
    <t>cocobelles_bebe@yahoo.com</t>
  </si>
  <si>
    <t>Dartford</t>
  </si>
  <si>
    <t>Kent</t>
  </si>
  <si>
    <t>DA4 9HG</t>
  </si>
  <si>
    <t>19 Main Road</t>
  </si>
  <si>
    <t xml:space="preserve">South East, London </t>
  </si>
  <si>
    <t>Ken Farrell</t>
  </si>
  <si>
    <t>kenfarrelluk@btinternet.com</t>
  </si>
  <si>
    <t>Akeley</t>
  </si>
  <si>
    <t>Buckinghamshire</t>
  </si>
  <si>
    <t>MK18 5HS</t>
  </si>
  <si>
    <t>1 Cedars Close</t>
  </si>
  <si>
    <t xml:space="preserve">Nightclub; </t>
  </si>
  <si>
    <t>East of England, North of London</t>
  </si>
  <si>
    <t>Mandi Astill</t>
  </si>
  <si>
    <t>mandy.astill@sky.com</t>
  </si>
  <si>
    <t>Stockton-on-Tees</t>
  </si>
  <si>
    <t>Durham</t>
  </si>
  <si>
    <t>TS22 5JW</t>
  </si>
  <si>
    <t>44 Chatsworth Gardens</t>
  </si>
  <si>
    <t>North East; North West - Unrestricted Travel, has caravan</t>
  </si>
  <si>
    <t>Neil Beattie</t>
  </si>
  <si>
    <t>neil.beattie@hotmail.co.uk</t>
  </si>
  <si>
    <t>Baildon</t>
  </si>
  <si>
    <t>West Yorkshire</t>
  </si>
  <si>
    <t>BD17 5HA</t>
  </si>
  <si>
    <t>1 West Avenue</t>
  </si>
  <si>
    <t>Yorkshire, North West</t>
  </si>
  <si>
    <t>Stuart Paton</t>
  </si>
  <si>
    <t>stup62@aol.com</t>
  </si>
  <si>
    <t>Horley</t>
  </si>
  <si>
    <t>Surrey</t>
  </si>
  <si>
    <t>RH6 9FT</t>
  </si>
  <si>
    <t>14 Chalkfield Road</t>
  </si>
  <si>
    <t>Nightclub;</t>
  </si>
  <si>
    <t>Tom Kell</t>
  </si>
  <si>
    <t>hello@tomkell.me</t>
  </si>
  <si>
    <t>W13 8HW</t>
  </si>
  <si>
    <t>Linden, Edgehill Road</t>
  </si>
  <si>
    <t>London - limited access to car</t>
  </si>
  <si>
    <t>Charles Clawson</t>
  </si>
  <si>
    <t>ceclawson@msn.com</t>
  </si>
  <si>
    <t>Harrow</t>
  </si>
  <si>
    <t>HA3 7HU</t>
  </si>
  <si>
    <t>3 Bishop Ken Road</t>
  </si>
  <si>
    <t>Luke Terry</t>
  </si>
  <si>
    <t>info@archcovert.co.uk</t>
  </si>
  <si>
    <t>Exmouth</t>
  </si>
  <si>
    <t>Devon</t>
  </si>
  <si>
    <t>EX8 3DT</t>
  </si>
  <si>
    <t>30 Exmouth Road</t>
  </si>
  <si>
    <t>South West</t>
  </si>
  <si>
    <t>Adam McLean</t>
  </si>
  <si>
    <t>adsy31@ymail.com</t>
  </si>
  <si>
    <t>Edinburgh</t>
  </si>
  <si>
    <t>Lothian</t>
  </si>
  <si>
    <t>EH12 8EA</t>
  </si>
  <si>
    <t>36 Craigmount Gardens</t>
  </si>
  <si>
    <t>Scotland, Cumbria</t>
  </si>
  <si>
    <t>John McGowan</t>
  </si>
  <si>
    <t xml:space="preserve">john.mcgowan@idinquiries.com </t>
  </si>
  <si>
    <t>G4 9XA</t>
  </si>
  <si>
    <t>29 Eagle Street</t>
  </si>
  <si>
    <t>Firms</t>
  </si>
  <si>
    <t>Clients</t>
  </si>
  <si>
    <t>Investigators</t>
  </si>
  <si>
    <t>InstructionStatus</t>
  </si>
  <si>
    <t>InstructionType</t>
  </si>
  <si>
    <t>YesNo</t>
  </si>
  <si>
    <t>CouncilMethod</t>
  </si>
  <si>
    <t>CouncilResponse</t>
  </si>
  <si>
    <t>ActivatePortal</t>
  </si>
  <si>
    <t>Kirsty Lawrence (Hamlins LLP)</t>
  </si>
  <si>
    <t>Wendy Farrow (Hamlins LLP)</t>
  </si>
  <si>
    <t>Unallocated</t>
  </si>
  <si>
    <t>Pub/Bar – event</t>
  </si>
  <si>
    <t>Defer</t>
  </si>
  <si>
    <t>Martin Ochs (Hamlins LLP)</t>
  </si>
  <si>
    <t>Ready for Allocation</t>
  </si>
  <si>
    <t>Restaurant//Café</t>
  </si>
  <si>
    <t>Form Submitted</t>
  </si>
  <si>
    <t>Awaiting Response</t>
  </si>
  <si>
    <t>Allocated</t>
  </si>
  <si>
    <t>Cafe</t>
  </si>
  <si>
    <t>Other – advise A2Z Cloud</t>
  </si>
  <si>
    <t>Renee Afambu (Hamlins LLP)</t>
  </si>
  <si>
    <t>Nightclub</t>
  </si>
  <si>
    <t>Lucy Duff (Brodies LLP)</t>
  </si>
  <si>
    <t>Stripclub</t>
  </si>
  <si>
    <t>Liwia Malecka (Seddons-GSC)</t>
  </si>
  <si>
    <t>Gentleman's Club</t>
  </si>
  <si>
    <t>Nida Khan (Seddons-GSC)</t>
  </si>
  <si>
    <t>Shop</t>
  </si>
  <si>
    <t>Max Evans (Seddons-GSC)</t>
  </si>
  <si>
    <t>Shop – High Street</t>
  </si>
  <si>
    <t>Ross Waldram (Seddons-GSC)</t>
  </si>
  <si>
    <t>Shop – Warehouse/Industrial</t>
  </si>
  <si>
    <t>Justin Goldspink (Seddons-GSC)</t>
  </si>
  <si>
    <t>Beauty Salon</t>
  </si>
  <si>
    <t>Barber (Gents)</t>
  </si>
  <si>
    <t>Hairdresser</t>
  </si>
  <si>
    <t>Nail Salon</t>
  </si>
  <si>
    <t>Tattoo Parlour</t>
  </si>
  <si>
    <t>Gym</t>
  </si>
  <si>
    <t>Hotel – Bedroom</t>
  </si>
  <si>
    <t>Hotel – Common Areas</t>
  </si>
  <si>
    <t>Festival</t>
  </si>
  <si>
    <t>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</si>
</sst>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b/>
      <sz val="10"/>
      <color rgb="FF1F3864"/>
      <name val="Calibri"/>
    </font>
    <font>
      <b/>
      <sz val="11"/>
      <color rgb="FFFFFFFF"/>
      <name val="Calibri"/>
    </font>
    <font>
      <b/>
      <sz val="11"/>
      <color rgb="FFC00000"/>
      <name val="Calibri"/>
    </font>
    <font>
      <i/>
      <sz val="9"/>
      <color rgb="FF595959"/>
      <name val="Calibri"/>
    </font>
    <font>
      <sz val="10"/>
      <color rgb="FF305496"/>
      <name val="Calibri"/>
    </font>
    <font>
      <i/>
      <sz val="10"/>
      <color rgb="FF595959"/>
      <name val="Calibri"/>
    </font>
    <font>
      <sz val="10"/>
      <color rgb="FF1F3864"/>
      <name val="Calibri"/>
    </font>
    <font>
      <sz val="11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2E5395"/>
      </patternFill>
    </fill>
    <fill>
      <patternFill patternType="solid">
        <fgColor rgb="FF548235"/>
      </patternFill>
    </fill>
    <fill>
      <patternFill patternType="solid">
        <fgColor rgb="FFBF8F00"/>
      </patternFill>
    </fill>
    <fill>
      <patternFill patternType="solid">
        <fgColor rgb="FF595959"/>
      </patternFill>
    </fill>
    <fill>
      <patternFill patternType="solid">
        <fgColor rgb="FFDDEBF7"/>
      </patternFill>
    </fill>
    <fill>
      <patternFill patternType="solid">
        <fgColor rgb="FFEAF1FA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3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top" wrapText="1"/>
    </xf>
    <xf numFmtId="0" fontId="5" fillId="8" borderId="2" xfId="0" applyFont="1" applyFill="1" applyBorder="1" applyAlignment="1">
      <alignment horizontal="left" vertical="center" wrapText="1"/>
    </xf>
    <xf numFmtId="0" fontId="0" fillId="0" borderId="0" xfId="0" applyProtection="1">
      <protection locked="0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0" fontId="7" fillId="9" borderId="2" xfId="0" applyFont="1" applyFill="1" applyBorder="1" applyAlignment="1" applyProtection="1">
      <alignment horizontal="left" vertical="center" wrapText="1"/>
      <protection locked="0"/>
    </xf>
    <xf numFmtId="0" fontId="8" fillId="0" borderId="2" xfId="0" applyFont="1" applyBorder="1" applyAlignment="1" applyProtection="1">
      <alignment horizontal="left" vertical="center" wrapText="1"/>
      <protection locked="0"/>
    </xf>
    <xf numFmtId="0" fontId="1" fillId="2" borderId="0" xfId="0" applyFont="1" applyFill="1"/>
    <xf numFmtId="0" fontId="2" fillId="5" borderId="1" xfId="0" applyFont="1" applyFill="1" applyBorder="1" applyAlignment="1">
      <alignment horizontal="center" vertical="center" wrapText="1"/>
    </xf>
    <xf numFmtId="0" fontId="0" fillId="0" borderId="0" xfId="0"/>
    <xf numFmtId="0" fontId="2" fillId="7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</cellXfs>
  <cellStyles count="1">
    <cellStyle name="Normal" xfId="0" builtinId="0"/>
  </cellStyles>
  <dxfs count="19">
    <dxf>
      <fill>
        <patternFill patternType="solid">
          <fgColor rgb="FFFFF2CC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CE4E4"/>
        </patternFill>
      </fill>
    </dxf>
    <dxf>
      <fill>
        <patternFill patternType="solid">
          <fgColor rgb="FFFCE4E4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CE4E4"/>
        </patternFill>
      </fill>
    </dxf>
    <dxf>
      <fill>
        <patternFill patternType="solid">
          <fgColor rgb="FFFCE4E4"/>
        </patternFill>
      </fill>
    </dxf>
    <dxf>
      <fill>
        <patternFill patternType="solid">
          <fgColor rgb="FFFCE4E4"/>
        </patternFill>
      </fill>
    </dxf>
    <dxf>
      <fill>
        <patternFill patternType="solid">
          <fgColor rgb="FFFCE4E4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CE4E4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CE4E4"/>
        </patternFill>
      </fill>
    </dxf>
    <dxf>
      <fill>
        <patternFill patternType="solid">
          <fgColor rgb="FFFCE4E4"/>
        </patternFill>
      </fill>
    </dxf>
    <dxf>
      <fill>
        <patternFill patternType="solid">
          <fgColor rgb="FFFCE4E4"/>
        </patternFill>
      </fill>
    </dxf>
    <dxf>
      <fill>
        <patternFill patternType="solid">
          <fgColor rgb="FFFCE4E4"/>
        </patternFill>
      </fill>
    </dxf>
    <dxf>
      <fill>
        <patternFill patternType="solid">
          <fgColor rgb="FFFCE4E4"/>
        </patternFill>
      </fill>
    </dxf>
    <dxf>
      <fill>
        <patternFill patternType="solid">
          <fgColor rgb="FFFCE4E4"/>
        </patternFill>
      </fill>
    </dxf>
    <dxf>
      <fill>
        <patternFill patternType="solid">
          <fgColor rgb="FFFCE4E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404"/>
  <sheetViews>
    <sheetView showGridLines="0" tabSelected="1" workbookViewId="0">
      <pane xSplit="1" ySplit="4" topLeftCell="B5" activePane="bottomRight" state="frozen"/>
      <selection pane="topRight"/>
      <selection pane="bottomLeft"/>
      <selection pane="bottomRight" activeCell="I33" sqref="I33"/>
    </sheetView>
  </sheetViews>
  <sheetFormatPr defaultRowHeight="14.6"/>
  <cols>
    <col min="1" max="1" width="28" customWidth="1"/>
    <col min="2" max="2" width="30" customWidth="1"/>
    <col min="3" max="4" width="16" customWidth="1"/>
    <col min="5" max="5" width="11" customWidth="1"/>
    <col min="6" max="6" width="26" customWidth="1"/>
    <col min="7" max="7" width="24" customWidth="1"/>
    <col min="8" max="8" width="22" customWidth="1"/>
    <col min="9" max="9" width="18" customWidth="1"/>
    <col min="10" max="10" width="22" customWidth="1"/>
    <col min="11" max="11" width="28" customWidth="1"/>
    <col min="12" max="12" width="18" customWidth="1"/>
    <col min="13" max="13" width="14" customWidth="1"/>
    <col min="14" max="14" width="22" customWidth="1"/>
    <col min="15" max="15" width="12" customWidth="1"/>
    <col min="16" max="16" width="36" customWidth="1"/>
    <col min="17" max="17" width="22" customWidth="1"/>
    <col min="18" max="18" width="14" customWidth="1"/>
    <col min="19" max="19" width="22" customWidth="1"/>
    <col min="20" max="20" width="14" customWidth="1"/>
    <col min="21" max="21" width="18" customWidth="1"/>
    <col min="22" max="22" width="36" customWidth="1"/>
    <col min="23" max="23" width="14" customWidth="1"/>
    <col min="24" max="24" width="40" customWidth="1"/>
  </cols>
  <sheetData>
    <row r="1" spans="1:24" ht="24" customHeight="1">
      <c r="A1" s="14" t="s">
        <v>0</v>
      </c>
      <c r="B1" s="12"/>
      <c r="C1" s="12"/>
      <c r="D1" s="12"/>
      <c r="E1" s="12"/>
      <c r="F1" s="12"/>
      <c r="G1" s="12"/>
      <c r="H1" s="12"/>
      <c r="I1" s="15" t="s">
        <v>1</v>
      </c>
      <c r="J1" s="12"/>
      <c r="K1" s="12"/>
      <c r="L1" s="12"/>
      <c r="M1" s="12"/>
      <c r="N1" s="12"/>
      <c r="O1" s="12"/>
      <c r="P1" s="12"/>
      <c r="Q1" s="11" t="s">
        <v>2</v>
      </c>
      <c r="R1" s="12"/>
      <c r="S1" s="16" t="s">
        <v>3</v>
      </c>
      <c r="T1" s="12"/>
      <c r="U1" s="12"/>
      <c r="V1" s="12"/>
      <c r="W1" s="13" t="s">
        <v>4</v>
      </c>
      <c r="X1" s="12"/>
    </row>
    <row r="2" spans="1:24" ht="58.3" customHeight="1">
      <c r="A2" s="1" t="s">
        <v>5</v>
      </c>
      <c r="B2" s="1" t="s">
        <v>6</v>
      </c>
      <c r="C2" s="1" t="s">
        <v>7</v>
      </c>
      <c r="D2" s="2" t="s">
        <v>8</v>
      </c>
      <c r="E2" s="1" t="s">
        <v>9</v>
      </c>
      <c r="F2" s="1" t="s">
        <v>10</v>
      </c>
      <c r="G2" s="2" t="s">
        <v>11</v>
      </c>
      <c r="H2" s="2" t="s">
        <v>12</v>
      </c>
      <c r="I2" s="1" t="s">
        <v>13</v>
      </c>
      <c r="J2" s="1" t="s">
        <v>14</v>
      </c>
      <c r="K2" s="1" t="s">
        <v>15</v>
      </c>
      <c r="L2" s="2" t="s">
        <v>16</v>
      </c>
      <c r="M2" s="1" t="s">
        <v>17</v>
      </c>
      <c r="N2" s="1" t="s">
        <v>18</v>
      </c>
      <c r="O2" s="1" t="s">
        <v>19</v>
      </c>
      <c r="P2" s="2" t="s">
        <v>20</v>
      </c>
      <c r="Q2" s="2" t="s">
        <v>21</v>
      </c>
      <c r="R2" s="2" t="s">
        <v>22</v>
      </c>
      <c r="S2" s="2" t="s">
        <v>23</v>
      </c>
      <c r="T2" s="2" t="s">
        <v>24</v>
      </c>
      <c r="U2" s="2" t="s">
        <v>25</v>
      </c>
      <c r="V2" s="2" t="s">
        <v>26</v>
      </c>
      <c r="W2" s="2" t="s">
        <v>27</v>
      </c>
      <c r="X2" s="2" t="s">
        <v>28</v>
      </c>
    </row>
    <row r="3" spans="1:24" ht="50.05" customHeight="1">
      <c r="A3" s="3" t="s">
        <v>29</v>
      </c>
      <c r="B3" s="3" t="s">
        <v>30</v>
      </c>
      <c r="C3" s="3" t="s">
        <v>31</v>
      </c>
      <c r="D3" s="3" t="s">
        <v>32</v>
      </c>
      <c r="E3" s="3" t="s">
        <v>33</v>
      </c>
      <c r="F3" s="3" t="s">
        <v>34</v>
      </c>
      <c r="G3" s="3" t="s">
        <v>35</v>
      </c>
      <c r="H3" s="3" t="s">
        <v>36</v>
      </c>
      <c r="I3" s="3" t="s">
        <v>37</v>
      </c>
      <c r="J3" s="3" t="s">
        <v>38</v>
      </c>
      <c r="K3" s="3" t="s">
        <v>39</v>
      </c>
      <c r="L3" s="3" t="s">
        <v>40</v>
      </c>
      <c r="M3" s="3" t="s">
        <v>41</v>
      </c>
      <c r="N3" s="3" t="s">
        <v>42</v>
      </c>
      <c r="O3" s="3" t="s">
        <v>43</v>
      </c>
      <c r="P3" s="3" t="s">
        <v>44</v>
      </c>
      <c r="Q3" s="3" t="s">
        <v>45</v>
      </c>
      <c r="R3" s="3" t="s">
        <v>46</v>
      </c>
      <c r="S3" s="3" t="s">
        <v>47</v>
      </c>
      <c r="T3" s="3" t="s">
        <v>48</v>
      </c>
      <c r="U3" s="3" t="s">
        <v>49</v>
      </c>
      <c r="V3" s="3" t="s">
        <v>50</v>
      </c>
      <c r="W3" s="3" t="s">
        <v>51</v>
      </c>
      <c r="X3" s="3" t="s">
        <v>51</v>
      </c>
    </row>
    <row r="4" spans="1:24" ht="20.05" customHeight="1">
      <c r="A4" s="4" t="s">
        <v>52</v>
      </c>
      <c r="B4" s="4" t="s">
        <v>53</v>
      </c>
      <c r="C4" s="4" t="s">
        <v>54</v>
      </c>
      <c r="D4" s="4" t="s">
        <v>55</v>
      </c>
      <c r="E4" s="4" t="s">
        <v>56</v>
      </c>
      <c r="F4" s="4" t="s">
        <v>57</v>
      </c>
      <c r="G4" s="4" t="s">
        <v>58</v>
      </c>
      <c r="H4" s="4" t="s">
        <v>59</v>
      </c>
      <c r="I4" s="4" t="s">
        <v>60</v>
      </c>
      <c r="J4" s="4" t="s">
        <v>61</v>
      </c>
      <c r="K4" s="4" t="s">
        <v>62</v>
      </c>
      <c r="L4" s="4" t="s">
        <v>63</v>
      </c>
      <c r="M4" s="4" t="s">
        <v>64</v>
      </c>
      <c r="N4" s="4" t="s">
        <v>65</v>
      </c>
      <c r="O4" s="4" t="s">
        <v>66</v>
      </c>
      <c r="P4" s="4" t="s">
        <v>67</v>
      </c>
      <c r="Q4" s="4" t="s">
        <v>68</v>
      </c>
      <c r="R4" s="4" t="s">
        <v>69</v>
      </c>
      <c r="S4" s="4" t="s">
        <v>70</v>
      </c>
      <c r="T4" s="4" t="s">
        <v>71</v>
      </c>
      <c r="U4" s="4" t="s">
        <v>72</v>
      </c>
      <c r="V4" s="4" t="s">
        <v>73</v>
      </c>
      <c r="W4" s="4"/>
      <c r="X4" s="4"/>
    </row>
    <row r="5" spans="1:24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 t="s">
        <v>66</v>
      </c>
      <c r="P5" s="5"/>
      <c r="Q5" s="5"/>
      <c r="R5" s="5"/>
      <c r="S5" s="5"/>
      <c r="T5" s="5"/>
      <c r="U5" s="5"/>
      <c r="V5" s="5"/>
      <c r="W5" s="6" t="str">
        <f t="shared" ref="W5:W68" si="0">IF(A5="","",IF(OR(A5="",B5="",C5="",E5="",F5="",I5="",J5="",K5="",M5="",N5="",O5="",AND(I5="Allocated",OR(Q5="",R5="")),AND(U5="Yes",V5="")),"Incomplete","Ready"))</f>
        <v/>
      </c>
      <c r="X5" s="7" t="str">
        <f t="shared" ref="X5:X68" si="1">IF(W5&lt;&gt;"Incomplete","",SUBSTITUTE(IF(B5="",", Street Address","")&amp;IF(C5="",", City","")&amp;IF(E5="",", Postcode","")&amp;IF(F5="",", Licensing Authority","")&amp;IF(I5="",", Status","")&amp;IF(J5="",", Firm","")&amp;IF(K5="",", Client","")&amp;IF(M5="",", Date of Instruction","")&amp;IF(N5="",", Instruction Type","")&amp;IF(O5="",", Reinstruction","")&amp;IF(AND(I5="Allocated",Q5=""),", Investigator","")&amp;IF(AND(I5="Allocated",R5=""),", Date Assigned","")&amp;IF(AND(U5="Yes",V5=""),", Licence Check Notes",""),", ","",1))</f>
        <v/>
      </c>
    </row>
    <row r="6" spans="1:24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6" t="str">
        <f t="shared" si="0"/>
        <v/>
      </c>
      <c r="X6" s="7" t="str">
        <f t="shared" si="1"/>
        <v/>
      </c>
    </row>
    <row r="7" spans="1:24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6" t="str">
        <f t="shared" si="0"/>
        <v/>
      </c>
      <c r="X7" s="7" t="str">
        <f t="shared" si="1"/>
        <v/>
      </c>
    </row>
    <row r="8" spans="1:24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6" t="str">
        <f t="shared" si="0"/>
        <v/>
      </c>
      <c r="X8" s="7" t="str">
        <f t="shared" si="1"/>
        <v/>
      </c>
    </row>
    <row r="9" spans="1:24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6" t="str">
        <f t="shared" si="0"/>
        <v/>
      </c>
      <c r="X9" s="7" t="str">
        <f t="shared" si="1"/>
        <v/>
      </c>
    </row>
    <row r="10" spans="1:24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6" t="str">
        <f t="shared" si="0"/>
        <v/>
      </c>
      <c r="X10" s="7" t="str">
        <f t="shared" si="1"/>
        <v/>
      </c>
    </row>
    <row r="11" spans="1:24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6" t="str">
        <f t="shared" si="0"/>
        <v/>
      </c>
      <c r="X11" s="7" t="str">
        <f t="shared" si="1"/>
        <v/>
      </c>
    </row>
    <row r="12" spans="1:24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6" t="str">
        <f t="shared" si="0"/>
        <v/>
      </c>
      <c r="X12" s="7" t="str">
        <f t="shared" si="1"/>
        <v/>
      </c>
    </row>
    <row r="13" spans="1:24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6" t="str">
        <f t="shared" si="0"/>
        <v/>
      </c>
      <c r="X13" s="7" t="str">
        <f t="shared" si="1"/>
        <v/>
      </c>
    </row>
    <row r="14" spans="1:2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6" t="str">
        <f t="shared" si="0"/>
        <v/>
      </c>
      <c r="X14" s="7" t="str">
        <f t="shared" si="1"/>
        <v/>
      </c>
    </row>
    <row r="15" spans="1:24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6" t="str">
        <f t="shared" si="0"/>
        <v/>
      </c>
      <c r="X15" s="7" t="str">
        <f t="shared" si="1"/>
        <v/>
      </c>
    </row>
    <row r="16" spans="1:24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6" t="str">
        <f t="shared" si="0"/>
        <v/>
      </c>
      <c r="X16" s="7" t="str">
        <f t="shared" si="1"/>
        <v/>
      </c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6" t="str">
        <f t="shared" si="0"/>
        <v/>
      </c>
      <c r="X17" s="7" t="str">
        <f t="shared" si="1"/>
        <v/>
      </c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6" t="str">
        <f t="shared" si="0"/>
        <v/>
      </c>
      <c r="X18" s="7" t="str">
        <f t="shared" si="1"/>
        <v/>
      </c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6" t="str">
        <f t="shared" si="0"/>
        <v/>
      </c>
      <c r="X19" s="7" t="str">
        <f t="shared" si="1"/>
        <v/>
      </c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6" t="str">
        <f t="shared" si="0"/>
        <v/>
      </c>
      <c r="X20" s="7" t="str">
        <f t="shared" si="1"/>
        <v/>
      </c>
    </row>
    <row r="21" spans="1:24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6" t="str">
        <f t="shared" si="0"/>
        <v/>
      </c>
      <c r="X21" s="7" t="str">
        <f t="shared" si="1"/>
        <v/>
      </c>
    </row>
    <row r="22" spans="1:24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6" t="str">
        <f t="shared" si="0"/>
        <v/>
      </c>
      <c r="X22" s="7" t="str">
        <f t="shared" si="1"/>
        <v/>
      </c>
    </row>
    <row r="23" spans="1:24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6" t="str">
        <f t="shared" si="0"/>
        <v/>
      </c>
      <c r="X23" s="7" t="str">
        <f t="shared" si="1"/>
        <v/>
      </c>
    </row>
    <row r="24" spans="1: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6" t="str">
        <f t="shared" si="0"/>
        <v/>
      </c>
      <c r="X24" s="7" t="str">
        <f t="shared" si="1"/>
        <v/>
      </c>
    </row>
    <row r="25" spans="1:24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6" t="str">
        <f t="shared" si="0"/>
        <v/>
      </c>
      <c r="X25" s="7" t="str">
        <f t="shared" si="1"/>
        <v/>
      </c>
    </row>
    <row r="26" spans="1:24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6" t="str">
        <f t="shared" si="0"/>
        <v/>
      </c>
      <c r="X26" s="7" t="str">
        <f t="shared" si="1"/>
        <v/>
      </c>
    </row>
    <row r="27" spans="1:24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6" t="str">
        <f t="shared" si="0"/>
        <v/>
      </c>
      <c r="X27" s="7" t="str">
        <f t="shared" si="1"/>
        <v/>
      </c>
    </row>
    <row r="28" spans="1:24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6" t="str">
        <f t="shared" si="0"/>
        <v/>
      </c>
      <c r="X28" s="7" t="str">
        <f t="shared" si="1"/>
        <v/>
      </c>
    </row>
    <row r="29" spans="1:24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6" t="str">
        <f t="shared" si="0"/>
        <v/>
      </c>
      <c r="X29" s="7" t="str">
        <f t="shared" si="1"/>
        <v/>
      </c>
    </row>
    <row r="30" spans="1:24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6" t="str">
        <f t="shared" si="0"/>
        <v/>
      </c>
      <c r="X30" s="7" t="str">
        <f t="shared" si="1"/>
        <v/>
      </c>
    </row>
    <row r="31" spans="1:24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6" t="str">
        <f t="shared" si="0"/>
        <v/>
      </c>
      <c r="X31" s="7" t="str">
        <f t="shared" si="1"/>
        <v/>
      </c>
    </row>
    <row r="32" spans="1:24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6" t="str">
        <f t="shared" si="0"/>
        <v/>
      </c>
      <c r="X32" s="7" t="str">
        <f t="shared" si="1"/>
        <v/>
      </c>
    </row>
    <row r="33" spans="1:24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6" t="str">
        <f t="shared" si="0"/>
        <v/>
      </c>
      <c r="X33" s="7" t="str">
        <f t="shared" si="1"/>
        <v/>
      </c>
    </row>
    <row r="34" spans="1:2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6" t="str">
        <f t="shared" si="0"/>
        <v/>
      </c>
      <c r="X34" s="7" t="str">
        <f t="shared" si="1"/>
        <v/>
      </c>
    </row>
    <row r="35" spans="1:24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6" t="str">
        <f t="shared" si="0"/>
        <v/>
      </c>
      <c r="X35" s="7" t="str">
        <f t="shared" si="1"/>
        <v/>
      </c>
    </row>
    <row r="36" spans="1:24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6" t="str">
        <f t="shared" si="0"/>
        <v/>
      </c>
      <c r="X36" s="7" t="str">
        <f t="shared" si="1"/>
        <v/>
      </c>
    </row>
    <row r="37" spans="1:24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6" t="str">
        <f t="shared" si="0"/>
        <v/>
      </c>
      <c r="X37" s="7" t="str">
        <f t="shared" si="1"/>
        <v/>
      </c>
    </row>
    <row r="38" spans="1:24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6" t="str">
        <f t="shared" si="0"/>
        <v/>
      </c>
      <c r="X38" s="7" t="str">
        <f t="shared" si="1"/>
        <v/>
      </c>
    </row>
    <row r="39" spans="1:24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6" t="str">
        <f t="shared" si="0"/>
        <v/>
      </c>
      <c r="X39" s="7" t="str">
        <f t="shared" si="1"/>
        <v/>
      </c>
    </row>
    <row r="40" spans="1:24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6" t="str">
        <f t="shared" si="0"/>
        <v/>
      </c>
      <c r="X40" s="7" t="str">
        <f t="shared" si="1"/>
        <v/>
      </c>
    </row>
    <row r="41" spans="1:24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6" t="str">
        <f t="shared" si="0"/>
        <v/>
      </c>
      <c r="X41" s="7" t="str">
        <f t="shared" si="1"/>
        <v/>
      </c>
    </row>
    <row r="42" spans="1:24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6" t="str">
        <f t="shared" si="0"/>
        <v/>
      </c>
      <c r="X42" s="7" t="str">
        <f t="shared" si="1"/>
        <v/>
      </c>
    </row>
    <row r="43" spans="1:24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6" t="str">
        <f t="shared" si="0"/>
        <v/>
      </c>
      <c r="X43" s="7" t="str">
        <f t="shared" si="1"/>
        <v/>
      </c>
    </row>
    <row r="44" spans="1:2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6" t="str">
        <f t="shared" si="0"/>
        <v/>
      </c>
      <c r="X44" s="7" t="str">
        <f t="shared" si="1"/>
        <v/>
      </c>
    </row>
    <row r="45" spans="1:24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6" t="str">
        <f t="shared" si="0"/>
        <v/>
      </c>
      <c r="X45" s="7" t="str">
        <f t="shared" si="1"/>
        <v/>
      </c>
    </row>
    <row r="46" spans="1:24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6" t="str">
        <f t="shared" si="0"/>
        <v/>
      </c>
      <c r="X46" s="7" t="str">
        <f t="shared" si="1"/>
        <v/>
      </c>
    </row>
    <row r="47" spans="1:24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6" t="str">
        <f t="shared" si="0"/>
        <v/>
      </c>
      <c r="X47" s="7" t="str">
        <f t="shared" si="1"/>
        <v/>
      </c>
    </row>
    <row r="48" spans="1:24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6" t="str">
        <f t="shared" si="0"/>
        <v/>
      </c>
      <c r="X48" s="7" t="str">
        <f t="shared" si="1"/>
        <v/>
      </c>
    </row>
    <row r="49" spans="1:24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6" t="str">
        <f t="shared" si="0"/>
        <v/>
      </c>
      <c r="X49" s="7" t="str">
        <f t="shared" si="1"/>
        <v/>
      </c>
    </row>
    <row r="50" spans="1:24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6" t="str">
        <f t="shared" si="0"/>
        <v/>
      </c>
      <c r="X50" s="7" t="str">
        <f t="shared" si="1"/>
        <v/>
      </c>
    </row>
    <row r="51" spans="1:24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6" t="str">
        <f t="shared" si="0"/>
        <v/>
      </c>
      <c r="X51" s="7" t="str">
        <f t="shared" si="1"/>
        <v/>
      </c>
    </row>
    <row r="52" spans="1:24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6" t="str">
        <f t="shared" si="0"/>
        <v/>
      </c>
      <c r="X52" s="7" t="str">
        <f t="shared" si="1"/>
        <v/>
      </c>
    </row>
    <row r="53" spans="1:24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6" t="str">
        <f t="shared" si="0"/>
        <v/>
      </c>
      <c r="X53" s="7" t="str">
        <f t="shared" si="1"/>
        <v/>
      </c>
    </row>
    <row r="54" spans="1:2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6" t="str">
        <f t="shared" si="0"/>
        <v/>
      </c>
      <c r="X54" s="7" t="str">
        <f t="shared" si="1"/>
        <v/>
      </c>
    </row>
    <row r="55" spans="1:24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6" t="str">
        <f t="shared" si="0"/>
        <v/>
      </c>
      <c r="X55" s="7" t="str">
        <f t="shared" si="1"/>
        <v/>
      </c>
    </row>
    <row r="56" spans="1:24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6" t="str">
        <f t="shared" si="0"/>
        <v/>
      </c>
      <c r="X56" s="7" t="str">
        <f t="shared" si="1"/>
        <v/>
      </c>
    </row>
    <row r="57" spans="1:24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6" t="str">
        <f t="shared" si="0"/>
        <v/>
      </c>
      <c r="X57" s="7" t="str">
        <f t="shared" si="1"/>
        <v/>
      </c>
    </row>
    <row r="58" spans="1:24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6" t="str">
        <f t="shared" si="0"/>
        <v/>
      </c>
      <c r="X58" s="7" t="str">
        <f t="shared" si="1"/>
        <v/>
      </c>
    </row>
    <row r="59" spans="1:24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6" t="str">
        <f t="shared" si="0"/>
        <v/>
      </c>
      <c r="X59" s="7" t="str">
        <f t="shared" si="1"/>
        <v/>
      </c>
    </row>
    <row r="60" spans="1:24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6" t="str">
        <f t="shared" si="0"/>
        <v/>
      </c>
      <c r="X60" s="7" t="str">
        <f t="shared" si="1"/>
        <v/>
      </c>
    </row>
    <row r="61" spans="1:24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6" t="str">
        <f t="shared" si="0"/>
        <v/>
      </c>
      <c r="X61" s="7" t="str">
        <f t="shared" si="1"/>
        <v/>
      </c>
    </row>
    <row r="62" spans="1:24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6" t="str">
        <f t="shared" si="0"/>
        <v/>
      </c>
      <c r="X62" s="7" t="str">
        <f t="shared" si="1"/>
        <v/>
      </c>
    </row>
    <row r="63" spans="1:24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6" t="str">
        <f t="shared" si="0"/>
        <v/>
      </c>
      <c r="X63" s="7" t="str">
        <f t="shared" si="1"/>
        <v/>
      </c>
    </row>
    <row r="64" spans="1:2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6" t="str">
        <f t="shared" si="0"/>
        <v/>
      </c>
      <c r="X64" s="7" t="str">
        <f t="shared" si="1"/>
        <v/>
      </c>
    </row>
    <row r="65" spans="1:24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6" t="str">
        <f t="shared" si="0"/>
        <v/>
      </c>
      <c r="X65" s="7" t="str">
        <f t="shared" si="1"/>
        <v/>
      </c>
    </row>
    <row r="66" spans="1:24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6" t="str">
        <f t="shared" si="0"/>
        <v/>
      </c>
      <c r="X66" s="7" t="str">
        <f t="shared" si="1"/>
        <v/>
      </c>
    </row>
    <row r="67" spans="1:24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6" t="str">
        <f t="shared" si="0"/>
        <v/>
      </c>
      <c r="X67" s="7" t="str">
        <f t="shared" si="1"/>
        <v/>
      </c>
    </row>
    <row r="68" spans="1:24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6" t="str">
        <f t="shared" si="0"/>
        <v/>
      </c>
      <c r="X68" s="7" t="str">
        <f t="shared" si="1"/>
        <v/>
      </c>
    </row>
    <row r="69" spans="1:24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6" t="str">
        <f t="shared" ref="W69:W132" si="2">IF(A69="","",IF(OR(A69="",B69="",C69="",E69="",F69="",I69="",J69="",K69="",M69="",N69="",O69="",AND(I69="Allocated",OR(Q69="",R69="")),AND(U69="Yes",V69="")),"Incomplete","Ready"))</f>
        <v/>
      </c>
      <c r="X69" s="7" t="str">
        <f t="shared" ref="X69:X132" si="3">IF(W69&lt;&gt;"Incomplete","",SUBSTITUTE(IF(B69="",", Street Address","")&amp;IF(C69="",", City","")&amp;IF(E69="",", Postcode","")&amp;IF(F69="",", Licensing Authority","")&amp;IF(I69="",", Status","")&amp;IF(J69="",", Firm","")&amp;IF(K69="",", Client","")&amp;IF(M69="",", Date of Instruction","")&amp;IF(N69="",", Instruction Type","")&amp;IF(O69="",", Reinstruction","")&amp;IF(AND(I69="Allocated",Q69=""),", Investigator","")&amp;IF(AND(I69="Allocated",R69=""),", Date Assigned","")&amp;IF(AND(U69="Yes",V69=""),", Licence Check Notes",""),", ","",1))</f>
        <v/>
      </c>
    </row>
    <row r="70" spans="1:24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6" t="str">
        <f t="shared" si="2"/>
        <v/>
      </c>
      <c r="X70" s="7" t="str">
        <f t="shared" si="3"/>
        <v/>
      </c>
    </row>
    <row r="71" spans="1:24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6" t="str">
        <f t="shared" si="2"/>
        <v/>
      </c>
      <c r="X71" s="7" t="str">
        <f t="shared" si="3"/>
        <v/>
      </c>
    </row>
    <row r="72" spans="1:24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6" t="str">
        <f t="shared" si="2"/>
        <v/>
      </c>
      <c r="X72" s="7" t="str">
        <f t="shared" si="3"/>
        <v/>
      </c>
    </row>
    <row r="73" spans="1:24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6" t="str">
        <f t="shared" si="2"/>
        <v/>
      </c>
      <c r="X73" s="7" t="str">
        <f t="shared" si="3"/>
        <v/>
      </c>
    </row>
    <row r="74" spans="1:2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6" t="str">
        <f t="shared" si="2"/>
        <v/>
      </c>
      <c r="X74" s="7" t="str">
        <f t="shared" si="3"/>
        <v/>
      </c>
    </row>
    <row r="75" spans="1:24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6" t="str">
        <f t="shared" si="2"/>
        <v/>
      </c>
      <c r="X75" s="7" t="str">
        <f t="shared" si="3"/>
        <v/>
      </c>
    </row>
    <row r="76" spans="1:24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6" t="str">
        <f t="shared" si="2"/>
        <v/>
      </c>
      <c r="X76" s="7" t="str">
        <f t="shared" si="3"/>
        <v/>
      </c>
    </row>
    <row r="77" spans="1:24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6" t="str">
        <f t="shared" si="2"/>
        <v/>
      </c>
      <c r="X77" s="7" t="str">
        <f t="shared" si="3"/>
        <v/>
      </c>
    </row>
    <row r="78" spans="1:24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6" t="str">
        <f t="shared" si="2"/>
        <v/>
      </c>
      <c r="X78" s="7" t="str">
        <f t="shared" si="3"/>
        <v/>
      </c>
    </row>
    <row r="79" spans="1:24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6" t="str">
        <f t="shared" si="2"/>
        <v/>
      </c>
      <c r="X79" s="7" t="str">
        <f t="shared" si="3"/>
        <v/>
      </c>
    </row>
    <row r="80" spans="1:24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6" t="str">
        <f t="shared" si="2"/>
        <v/>
      </c>
      <c r="X80" s="7" t="str">
        <f t="shared" si="3"/>
        <v/>
      </c>
    </row>
    <row r="81" spans="1:24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6" t="str">
        <f t="shared" si="2"/>
        <v/>
      </c>
      <c r="X81" s="7" t="str">
        <f t="shared" si="3"/>
        <v/>
      </c>
    </row>
    <row r="82" spans="1:24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6" t="str">
        <f t="shared" si="2"/>
        <v/>
      </c>
      <c r="X82" s="7" t="str">
        <f t="shared" si="3"/>
        <v/>
      </c>
    </row>
    <row r="83" spans="1:24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6" t="str">
        <f t="shared" si="2"/>
        <v/>
      </c>
      <c r="X83" s="7" t="str">
        <f t="shared" si="3"/>
        <v/>
      </c>
    </row>
    <row r="84" spans="1:2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6" t="str">
        <f t="shared" si="2"/>
        <v/>
      </c>
      <c r="X84" s="7" t="str">
        <f t="shared" si="3"/>
        <v/>
      </c>
    </row>
    <row r="85" spans="1:24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6" t="str">
        <f t="shared" si="2"/>
        <v/>
      </c>
      <c r="X85" s="7" t="str">
        <f t="shared" si="3"/>
        <v/>
      </c>
    </row>
    <row r="86" spans="1:24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6" t="str">
        <f t="shared" si="2"/>
        <v/>
      </c>
      <c r="X86" s="7" t="str">
        <f t="shared" si="3"/>
        <v/>
      </c>
    </row>
    <row r="87" spans="1:24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6" t="str">
        <f t="shared" si="2"/>
        <v/>
      </c>
      <c r="X87" s="7" t="str">
        <f t="shared" si="3"/>
        <v/>
      </c>
    </row>
    <row r="88" spans="1:24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6" t="str">
        <f t="shared" si="2"/>
        <v/>
      </c>
      <c r="X88" s="7" t="str">
        <f t="shared" si="3"/>
        <v/>
      </c>
    </row>
    <row r="89" spans="1:24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6" t="str">
        <f t="shared" si="2"/>
        <v/>
      </c>
      <c r="X89" s="7" t="str">
        <f t="shared" si="3"/>
        <v/>
      </c>
    </row>
    <row r="90" spans="1:24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6" t="str">
        <f t="shared" si="2"/>
        <v/>
      </c>
      <c r="X90" s="7" t="str">
        <f t="shared" si="3"/>
        <v/>
      </c>
    </row>
    <row r="91" spans="1:24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6" t="str">
        <f t="shared" si="2"/>
        <v/>
      </c>
      <c r="X91" s="7" t="str">
        <f t="shared" si="3"/>
        <v/>
      </c>
    </row>
    <row r="92" spans="1:24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6" t="str">
        <f t="shared" si="2"/>
        <v/>
      </c>
      <c r="X92" s="7" t="str">
        <f t="shared" si="3"/>
        <v/>
      </c>
    </row>
    <row r="93" spans="1:24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6" t="str">
        <f t="shared" si="2"/>
        <v/>
      </c>
      <c r="X93" s="7" t="str">
        <f t="shared" si="3"/>
        <v/>
      </c>
    </row>
    <row r="94" spans="1:2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6" t="str">
        <f t="shared" si="2"/>
        <v/>
      </c>
      <c r="X94" s="7" t="str">
        <f t="shared" si="3"/>
        <v/>
      </c>
    </row>
    <row r="95" spans="1:24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6" t="str">
        <f t="shared" si="2"/>
        <v/>
      </c>
      <c r="X95" s="7" t="str">
        <f t="shared" si="3"/>
        <v/>
      </c>
    </row>
    <row r="96" spans="1:24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6" t="str">
        <f t="shared" si="2"/>
        <v/>
      </c>
      <c r="X96" s="7" t="str">
        <f t="shared" si="3"/>
        <v/>
      </c>
    </row>
    <row r="97" spans="1:24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6" t="str">
        <f t="shared" si="2"/>
        <v/>
      </c>
      <c r="X97" s="7" t="str">
        <f t="shared" si="3"/>
        <v/>
      </c>
    </row>
    <row r="98" spans="1:24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6" t="str">
        <f t="shared" si="2"/>
        <v/>
      </c>
      <c r="X98" s="7" t="str">
        <f t="shared" si="3"/>
        <v/>
      </c>
    </row>
    <row r="99" spans="1:24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6" t="str">
        <f t="shared" si="2"/>
        <v/>
      </c>
      <c r="X99" s="7" t="str">
        <f t="shared" si="3"/>
        <v/>
      </c>
    </row>
    <row r="100" spans="1:24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6" t="str">
        <f t="shared" si="2"/>
        <v/>
      </c>
      <c r="X100" s="7" t="str">
        <f t="shared" si="3"/>
        <v/>
      </c>
    </row>
    <row r="101" spans="1:24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6" t="str">
        <f t="shared" si="2"/>
        <v/>
      </c>
      <c r="X101" s="7" t="str">
        <f t="shared" si="3"/>
        <v/>
      </c>
    </row>
    <row r="102" spans="1:24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6" t="str">
        <f t="shared" si="2"/>
        <v/>
      </c>
      <c r="X102" s="7" t="str">
        <f t="shared" si="3"/>
        <v/>
      </c>
    </row>
    <row r="103" spans="1:24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6" t="str">
        <f t="shared" si="2"/>
        <v/>
      </c>
      <c r="X103" s="7" t="str">
        <f t="shared" si="3"/>
        <v/>
      </c>
    </row>
    <row r="104" spans="1:2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6" t="str">
        <f t="shared" si="2"/>
        <v/>
      </c>
      <c r="X104" s="7" t="str">
        <f t="shared" si="3"/>
        <v/>
      </c>
    </row>
    <row r="105" spans="1:24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6" t="str">
        <f t="shared" si="2"/>
        <v/>
      </c>
      <c r="X105" s="7" t="str">
        <f t="shared" si="3"/>
        <v/>
      </c>
    </row>
    <row r="106" spans="1:24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6" t="str">
        <f t="shared" si="2"/>
        <v/>
      </c>
      <c r="X106" s="7" t="str">
        <f t="shared" si="3"/>
        <v/>
      </c>
    </row>
    <row r="107" spans="1:24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6" t="str">
        <f t="shared" si="2"/>
        <v/>
      </c>
      <c r="X107" s="7" t="str">
        <f t="shared" si="3"/>
        <v/>
      </c>
    </row>
    <row r="108" spans="1:24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6" t="str">
        <f t="shared" si="2"/>
        <v/>
      </c>
      <c r="X108" s="7" t="str">
        <f t="shared" si="3"/>
        <v/>
      </c>
    </row>
    <row r="109" spans="1:24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6" t="str">
        <f t="shared" si="2"/>
        <v/>
      </c>
      <c r="X109" s="7" t="str">
        <f t="shared" si="3"/>
        <v/>
      </c>
    </row>
    <row r="110" spans="1:24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6" t="str">
        <f t="shared" si="2"/>
        <v/>
      </c>
      <c r="X110" s="7" t="str">
        <f t="shared" si="3"/>
        <v/>
      </c>
    </row>
    <row r="111" spans="1:24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6" t="str">
        <f t="shared" si="2"/>
        <v/>
      </c>
      <c r="X111" s="7" t="str">
        <f t="shared" si="3"/>
        <v/>
      </c>
    </row>
    <row r="112" spans="1:24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6" t="str">
        <f t="shared" si="2"/>
        <v/>
      </c>
      <c r="X112" s="7" t="str">
        <f t="shared" si="3"/>
        <v/>
      </c>
    </row>
    <row r="113" spans="1:24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6" t="str">
        <f t="shared" si="2"/>
        <v/>
      </c>
      <c r="X113" s="7" t="str">
        <f t="shared" si="3"/>
        <v/>
      </c>
    </row>
    <row r="114" spans="1:2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6" t="str">
        <f t="shared" si="2"/>
        <v/>
      </c>
      <c r="X114" s="7" t="str">
        <f t="shared" si="3"/>
        <v/>
      </c>
    </row>
    <row r="115" spans="1:24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6" t="str">
        <f t="shared" si="2"/>
        <v/>
      </c>
      <c r="X115" s="7" t="str">
        <f t="shared" si="3"/>
        <v/>
      </c>
    </row>
    <row r="116" spans="1:24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6" t="str">
        <f t="shared" si="2"/>
        <v/>
      </c>
      <c r="X116" s="7" t="str">
        <f t="shared" si="3"/>
        <v/>
      </c>
    </row>
    <row r="117" spans="1:24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6" t="str">
        <f t="shared" si="2"/>
        <v/>
      </c>
      <c r="X117" s="7" t="str">
        <f t="shared" si="3"/>
        <v/>
      </c>
    </row>
    <row r="118" spans="1:24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6" t="str">
        <f t="shared" si="2"/>
        <v/>
      </c>
      <c r="X118" s="7" t="str">
        <f t="shared" si="3"/>
        <v/>
      </c>
    </row>
    <row r="119" spans="1:24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6" t="str">
        <f t="shared" si="2"/>
        <v/>
      </c>
      <c r="X119" s="7" t="str">
        <f t="shared" si="3"/>
        <v/>
      </c>
    </row>
    <row r="120" spans="1:24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6" t="str">
        <f t="shared" si="2"/>
        <v/>
      </c>
      <c r="X120" s="7" t="str">
        <f t="shared" si="3"/>
        <v/>
      </c>
    </row>
    <row r="121" spans="1:24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6" t="str">
        <f t="shared" si="2"/>
        <v/>
      </c>
      <c r="X121" s="7" t="str">
        <f t="shared" si="3"/>
        <v/>
      </c>
    </row>
    <row r="122" spans="1:24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6" t="str">
        <f t="shared" si="2"/>
        <v/>
      </c>
      <c r="X122" s="7" t="str">
        <f t="shared" si="3"/>
        <v/>
      </c>
    </row>
    <row r="123" spans="1:24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6" t="str">
        <f t="shared" si="2"/>
        <v/>
      </c>
      <c r="X123" s="7" t="str">
        <f t="shared" si="3"/>
        <v/>
      </c>
    </row>
    <row r="124" spans="1: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6" t="str">
        <f t="shared" si="2"/>
        <v/>
      </c>
      <c r="X124" s="7" t="str">
        <f t="shared" si="3"/>
        <v/>
      </c>
    </row>
    <row r="125" spans="1:24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6" t="str">
        <f t="shared" si="2"/>
        <v/>
      </c>
      <c r="X125" s="7" t="str">
        <f t="shared" si="3"/>
        <v/>
      </c>
    </row>
    <row r="126" spans="1:24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6" t="str">
        <f t="shared" si="2"/>
        <v/>
      </c>
      <c r="X126" s="7" t="str">
        <f t="shared" si="3"/>
        <v/>
      </c>
    </row>
    <row r="127" spans="1:24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6" t="str">
        <f t="shared" si="2"/>
        <v/>
      </c>
      <c r="X127" s="7" t="str">
        <f t="shared" si="3"/>
        <v/>
      </c>
    </row>
    <row r="128" spans="1:24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6" t="str">
        <f t="shared" si="2"/>
        <v/>
      </c>
      <c r="X128" s="7" t="str">
        <f t="shared" si="3"/>
        <v/>
      </c>
    </row>
    <row r="129" spans="1:24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6" t="str">
        <f t="shared" si="2"/>
        <v/>
      </c>
      <c r="X129" s="7" t="str">
        <f t="shared" si="3"/>
        <v/>
      </c>
    </row>
    <row r="130" spans="1:24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6" t="str">
        <f t="shared" si="2"/>
        <v/>
      </c>
      <c r="X130" s="7" t="str">
        <f t="shared" si="3"/>
        <v/>
      </c>
    </row>
    <row r="131" spans="1:24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6" t="str">
        <f t="shared" si="2"/>
        <v/>
      </c>
      <c r="X131" s="7" t="str">
        <f t="shared" si="3"/>
        <v/>
      </c>
    </row>
    <row r="132" spans="1:24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6" t="str">
        <f t="shared" si="2"/>
        <v/>
      </c>
      <c r="X132" s="7" t="str">
        <f t="shared" si="3"/>
        <v/>
      </c>
    </row>
    <row r="133" spans="1:24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6" t="str">
        <f t="shared" ref="W133:W196" si="4">IF(A133="","",IF(OR(A133="",B133="",C133="",E133="",F133="",I133="",J133="",K133="",M133="",N133="",O133="",AND(I133="Allocated",OR(Q133="",R133="")),AND(U133="Yes",V133="")),"Incomplete","Ready"))</f>
        <v/>
      </c>
      <c r="X133" s="7" t="str">
        <f t="shared" ref="X133:X196" si="5">IF(W133&lt;&gt;"Incomplete","",SUBSTITUTE(IF(B133="",", Street Address","")&amp;IF(C133="",", City","")&amp;IF(E133="",", Postcode","")&amp;IF(F133="",", Licensing Authority","")&amp;IF(I133="",", Status","")&amp;IF(J133="",", Firm","")&amp;IF(K133="",", Client","")&amp;IF(M133="",", Date of Instruction","")&amp;IF(N133="",", Instruction Type","")&amp;IF(O133="",", Reinstruction","")&amp;IF(AND(I133="Allocated",Q133=""),", Investigator","")&amp;IF(AND(I133="Allocated",R133=""),", Date Assigned","")&amp;IF(AND(U133="Yes",V133=""),", Licence Check Notes",""),", ","",1))</f>
        <v/>
      </c>
    </row>
    <row r="134" spans="1:2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6" t="str">
        <f t="shared" si="4"/>
        <v/>
      </c>
      <c r="X134" s="7" t="str">
        <f t="shared" si="5"/>
        <v/>
      </c>
    </row>
    <row r="135" spans="1:24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6" t="str">
        <f t="shared" si="4"/>
        <v/>
      </c>
      <c r="X135" s="7" t="str">
        <f t="shared" si="5"/>
        <v/>
      </c>
    </row>
    <row r="136" spans="1:24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6" t="str">
        <f t="shared" si="4"/>
        <v/>
      </c>
      <c r="X136" s="7" t="str">
        <f t="shared" si="5"/>
        <v/>
      </c>
    </row>
    <row r="137" spans="1:24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6" t="str">
        <f t="shared" si="4"/>
        <v/>
      </c>
      <c r="X137" s="7" t="str">
        <f t="shared" si="5"/>
        <v/>
      </c>
    </row>
    <row r="138" spans="1:24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6" t="str">
        <f t="shared" si="4"/>
        <v/>
      </c>
      <c r="X138" s="7" t="str">
        <f t="shared" si="5"/>
        <v/>
      </c>
    </row>
    <row r="139" spans="1:24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6" t="str">
        <f t="shared" si="4"/>
        <v/>
      </c>
      <c r="X139" s="7" t="str">
        <f t="shared" si="5"/>
        <v/>
      </c>
    </row>
    <row r="140" spans="1:24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6" t="str">
        <f t="shared" si="4"/>
        <v/>
      </c>
      <c r="X140" s="7" t="str">
        <f t="shared" si="5"/>
        <v/>
      </c>
    </row>
    <row r="141" spans="1:24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6" t="str">
        <f t="shared" si="4"/>
        <v/>
      </c>
      <c r="X141" s="7" t="str">
        <f t="shared" si="5"/>
        <v/>
      </c>
    </row>
    <row r="142" spans="1:24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6" t="str">
        <f t="shared" si="4"/>
        <v/>
      </c>
      <c r="X142" s="7" t="str">
        <f t="shared" si="5"/>
        <v/>
      </c>
    </row>
    <row r="143" spans="1:24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6" t="str">
        <f t="shared" si="4"/>
        <v/>
      </c>
      <c r="X143" s="7" t="str">
        <f t="shared" si="5"/>
        <v/>
      </c>
    </row>
    <row r="144" spans="1:2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6" t="str">
        <f t="shared" si="4"/>
        <v/>
      </c>
      <c r="X144" s="7" t="str">
        <f t="shared" si="5"/>
        <v/>
      </c>
    </row>
    <row r="145" spans="1:24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6" t="str">
        <f t="shared" si="4"/>
        <v/>
      </c>
      <c r="X145" s="7" t="str">
        <f t="shared" si="5"/>
        <v/>
      </c>
    </row>
    <row r="146" spans="1:24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6" t="str">
        <f t="shared" si="4"/>
        <v/>
      </c>
      <c r="X146" s="7" t="str">
        <f t="shared" si="5"/>
        <v/>
      </c>
    </row>
    <row r="147" spans="1:24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6" t="str">
        <f t="shared" si="4"/>
        <v/>
      </c>
      <c r="X147" s="7" t="str">
        <f t="shared" si="5"/>
        <v/>
      </c>
    </row>
    <row r="148" spans="1:24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6" t="str">
        <f t="shared" si="4"/>
        <v/>
      </c>
      <c r="X148" s="7" t="str">
        <f t="shared" si="5"/>
        <v/>
      </c>
    </row>
    <row r="149" spans="1:24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6" t="str">
        <f t="shared" si="4"/>
        <v/>
      </c>
      <c r="X149" s="7" t="str">
        <f t="shared" si="5"/>
        <v/>
      </c>
    </row>
    <row r="150" spans="1:24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6" t="str">
        <f t="shared" si="4"/>
        <v/>
      </c>
      <c r="X150" s="7" t="str">
        <f t="shared" si="5"/>
        <v/>
      </c>
    </row>
    <row r="151" spans="1:24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6" t="str">
        <f t="shared" si="4"/>
        <v/>
      </c>
      <c r="X151" s="7" t="str">
        <f t="shared" si="5"/>
        <v/>
      </c>
    </row>
    <row r="152" spans="1:24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6" t="str">
        <f t="shared" si="4"/>
        <v/>
      </c>
      <c r="X152" s="7" t="str">
        <f t="shared" si="5"/>
        <v/>
      </c>
    </row>
    <row r="153" spans="1:24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6" t="str">
        <f t="shared" si="4"/>
        <v/>
      </c>
      <c r="X153" s="7" t="str">
        <f t="shared" si="5"/>
        <v/>
      </c>
    </row>
    <row r="154" spans="1:2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6" t="str">
        <f t="shared" si="4"/>
        <v/>
      </c>
      <c r="X154" s="7" t="str">
        <f t="shared" si="5"/>
        <v/>
      </c>
    </row>
    <row r="155" spans="1:24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6" t="str">
        <f t="shared" si="4"/>
        <v/>
      </c>
      <c r="X155" s="7" t="str">
        <f t="shared" si="5"/>
        <v/>
      </c>
    </row>
    <row r="156" spans="1:24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6" t="str">
        <f t="shared" si="4"/>
        <v/>
      </c>
      <c r="X156" s="7" t="str">
        <f t="shared" si="5"/>
        <v/>
      </c>
    </row>
    <row r="157" spans="1:24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6" t="str">
        <f t="shared" si="4"/>
        <v/>
      </c>
      <c r="X157" s="7" t="str">
        <f t="shared" si="5"/>
        <v/>
      </c>
    </row>
    <row r="158" spans="1:24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6" t="str">
        <f t="shared" si="4"/>
        <v/>
      </c>
      <c r="X158" s="7" t="str">
        <f t="shared" si="5"/>
        <v/>
      </c>
    </row>
    <row r="159" spans="1:24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6" t="str">
        <f t="shared" si="4"/>
        <v/>
      </c>
      <c r="X159" s="7" t="str">
        <f t="shared" si="5"/>
        <v/>
      </c>
    </row>
    <row r="160" spans="1:24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6" t="str">
        <f t="shared" si="4"/>
        <v/>
      </c>
      <c r="X160" s="7" t="str">
        <f t="shared" si="5"/>
        <v/>
      </c>
    </row>
    <row r="161" spans="1:24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6" t="str">
        <f t="shared" si="4"/>
        <v/>
      </c>
      <c r="X161" s="7" t="str">
        <f t="shared" si="5"/>
        <v/>
      </c>
    </row>
    <row r="162" spans="1:24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6" t="str">
        <f t="shared" si="4"/>
        <v/>
      </c>
      <c r="X162" s="7" t="str">
        <f t="shared" si="5"/>
        <v/>
      </c>
    </row>
    <row r="163" spans="1:24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6" t="str">
        <f t="shared" si="4"/>
        <v/>
      </c>
      <c r="X163" s="7" t="str">
        <f t="shared" si="5"/>
        <v/>
      </c>
    </row>
    <row r="164" spans="1:2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6" t="str">
        <f t="shared" si="4"/>
        <v/>
      </c>
      <c r="X164" s="7" t="str">
        <f t="shared" si="5"/>
        <v/>
      </c>
    </row>
    <row r="165" spans="1:24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6" t="str">
        <f t="shared" si="4"/>
        <v/>
      </c>
      <c r="X165" s="7" t="str">
        <f t="shared" si="5"/>
        <v/>
      </c>
    </row>
    <row r="166" spans="1:24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6" t="str">
        <f t="shared" si="4"/>
        <v/>
      </c>
      <c r="X166" s="7" t="str">
        <f t="shared" si="5"/>
        <v/>
      </c>
    </row>
    <row r="167" spans="1:24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6" t="str">
        <f t="shared" si="4"/>
        <v/>
      </c>
      <c r="X167" s="7" t="str">
        <f t="shared" si="5"/>
        <v/>
      </c>
    </row>
    <row r="168" spans="1:24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6" t="str">
        <f t="shared" si="4"/>
        <v/>
      </c>
      <c r="X168" s="7" t="str">
        <f t="shared" si="5"/>
        <v/>
      </c>
    </row>
    <row r="169" spans="1:24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6" t="str">
        <f t="shared" si="4"/>
        <v/>
      </c>
      <c r="X169" s="7" t="str">
        <f t="shared" si="5"/>
        <v/>
      </c>
    </row>
    <row r="170" spans="1:24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6" t="str">
        <f t="shared" si="4"/>
        <v/>
      </c>
      <c r="X170" s="7" t="str">
        <f t="shared" si="5"/>
        <v/>
      </c>
    </row>
    <row r="171" spans="1:24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6" t="str">
        <f t="shared" si="4"/>
        <v/>
      </c>
      <c r="X171" s="7" t="str">
        <f t="shared" si="5"/>
        <v/>
      </c>
    </row>
    <row r="172" spans="1:24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6" t="str">
        <f t="shared" si="4"/>
        <v/>
      </c>
      <c r="X172" s="7" t="str">
        <f t="shared" si="5"/>
        <v/>
      </c>
    </row>
    <row r="173" spans="1:24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6" t="str">
        <f t="shared" si="4"/>
        <v/>
      </c>
      <c r="X173" s="7" t="str">
        <f t="shared" si="5"/>
        <v/>
      </c>
    </row>
    <row r="174" spans="1:2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6" t="str">
        <f t="shared" si="4"/>
        <v/>
      </c>
      <c r="X174" s="7" t="str">
        <f t="shared" si="5"/>
        <v/>
      </c>
    </row>
    <row r="175" spans="1:24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6" t="str">
        <f t="shared" si="4"/>
        <v/>
      </c>
      <c r="X175" s="7" t="str">
        <f t="shared" si="5"/>
        <v/>
      </c>
    </row>
    <row r="176" spans="1:24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6" t="str">
        <f t="shared" si="4"/>
        <v/>
      </c>
      <c r="X176" s="7" t="str">
        <f t="shared" si="5"/>
        <v/>
      </c>
    </row>
    <row r="177" spans="1:24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6" t="str">
        <f t="shared" si="4"/>
        <v/>
      </c>
      <c r="X177" s="7" t="str">
        <f t="shared" si="5"/>
        <v/>
      </c>
    </row>
    <row r="178" spans="1:24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6" t="str">
        <f t="shared" si="4"/>
        <v/>
      </c>
      <c r="X178" s="7" t="str">
        <f t="shared" si="5"/>
        <v/>
      </c>
    </row>
    <row r="179" spans="1:24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6" t="str">
        <f t="shared" si="4"/>
        <v/>
      </c>
      <c r="X179" s="7" t="str">
        <f t="shared" si="5"/>
        <v/>
      </c>
    </row>
    <row r="180" spans="1:24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6" t="str">
        <f t="shared" si="4"/>
        <v/>
      </c>
      <c r="X180" s="7" t="str">
        <f t="shared" si="5"/>
        <v/>
      </c>
    </row>
    <row r="181" spans="1:24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6" t="str">
        <f t="shared" si="4"/>
        <v/>
      </c>
      <c r="X181" s="7" t="str">
        <f t="shared" si="5"/>
        <v/>
      </c>
    </row>
    <row r="182" spans="1:24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6" t="str">
        <f t="shared" si="4"/>
        <v/>
      </c>
      <c r="X182" s="7" t="str">
        <f t="shared" si="5"/>
        <v/>
      </c>
    </row>
    <row r="183" spans="1:24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6" t="str">
        <f t="shared" si="4"/>
        <v/>
      </c>
      <c r="X183" s="7" t="str">
        <f t="shared" si="5"/>
        <v/>
      </c>
    </row>
    <row r="184" spans="1:2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6" t="str">
        <f t="shared" si="4"/>
        <v/>
      </c>
      <c r="X184" s="7" t="str">
        <f t="shared" si="5"/>
        <v/>
      </c>
    </row>
    <row r="185" spans="1:24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6" t="str">
        <f t="shared" si="4"/>
        <v/>
      </c>
      <c r="X185" s="7" t="str">
        <f t="shared" si="5"/>
        <v/>
      </c>
    </row>
    <row r="186" spans="1:24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6" t="str">
        <f t="shared" si="4"/>
        <v/>
      </c>
      <c r="X186" s="7" t="str">
        <f t="shared" si="5"/>
        <v/>
      </c>
    </row>
    <row r="187" spans="1:24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6" t="str">
        <f t="shared" si="4"/>
        <v/>
      </c>
      <c r="X187" s="7" t="str">
        <f t="shared" si="5"/>
        <v/>
      </c>
    </row>
    <row r="188" spans="1:24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6" t="str">
        <f t="shared" si="4"/>
        <v/>
      </c>
      <c r="X188" s="7" t="str">
        <f t="shared" si="5"/>
        <v/>
      </c>
    </row>
    <row r="189" spans="1:24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6" t="str">
        <f t="shared" si="4"/>
        <v/>
      </c>
      <c r="X189" s="7" t="str">
        <f t="shared" si="5"/>
        <v/>
      </c>
    </row>
    <row r="190" spans="1:24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6" t="str">
        <f t="shared" si="4"/>
        <v/>
      </c>
      <c r="X190" s="7" t="str">
        <f t="shared" si="5"/>
        <v/>
      </c>
    </row>
    <row r="191" spans="1:24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6" t="str">
        <f t="shared" si="4"/>
        <v/>
      </c>
      <c r="X191" s="7" t="str">
        <f t="shared" si="5"/>
        <v/>
      </c>
    </row>
    <row r="192" spans="1:24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6" t="str">
        <f t="shared" si="4"/>
        <v/>
      </c>
      <c r="X192" s="7" t="str">
        <f t="shared" si="5"/>
        <v/>
      </c>
    </row>
    <row r="193" spans="1:24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6" t="str">
        <f t="shared" si="4"/>
        <v/>
      </c>
      <c r="X193" s="7" t="str">
        <f t="shared" si="5"/>
        <v/>
      </c>
    </row>
    <row r="194" spans="1:2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6" t="str">
        <f t="shared" si="4"/>
        <v/>
      </c>
      <c r="X194" s="7" t="str">
        <f t="shared" si="5"/>
        <v/>
      </c>
    </row>
    <row r="195" spans="1:24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6" t="str">
        <f t="shared" si="4"/>
        <v/>
      </c>
      <c r="X195" s="7" t="str">
        <f t="shared" si="5"/>
        <v/>
      </c>
    </row>
    <row r="196" spans="1:24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6" t="str">
        <f t="shared" si="4"/>
        <v/>
      </c>
      <c r="X196" s="7" t="str">
        <f t="shared" si="5"/>
        <v/>
      </c>
    </row>
    <row r="197" spans="1:24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6" t="str">
        <f t="shared" ref="W197:W260" si="6">IF(A197="","",IF(OR(A197="",B197="",C197="",E197="",F197="",I197="",J197="",K197="",M197="",N197="",O197="",AND(I197="Allocated",OR(Q197="",R197="")),AND(U197="Yes",V197="")),"Incomplete","Ready"))</f>
        <v/>
      </c>
      <c r="X197" s="7" t="str">
        <f t="shared" ref="X197:X260" si="7">IF(W197&lt;&gt;"Incomplete","",SUBSTITUTE(IF(B197="",", Street Address","")&amp;IF(C197="",", City","")&amp;IF(E197="",", Postcode","")&amp;IF(F197="",", Licensing Authority","")&amp;IF(I197="",", Status","")&amp;IF(J197="",", Firm","")&amp;IF(K197="",", Client","")&amp;IF(M197="",", Date of Instruction","")&amp;IF(N197="",", Instruction Type","")&amp;IF(O197="",", Reinstruction","")&amp;IF(AND(I197="Allocated",Q197=""),", Investigator","")&amp;IF(AND(I197="Allocated",R197=""),", Date Assigned","")&amp;IF(AND(U197="Yes",V197=""),", Licence Check Notes",""),", ","",1))</f>
        <v/>
      </c>
    </row>
    <row r="198" spans="1:24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6" t="str">
        <f t="shared" si="6"/>
        <v/>
      </c>
      <c r="X198" s="7" t="str">
        <f t="shared" si="7"/>
        <v/>
      </c>
    </row>
    <row r="199" spans="1:24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6" t="str">
        <f t="shared" si="6"/>
        <v/>
      </c>
      <c r="X199" s="7" t="str">
        <f t="shared" si="7"/>
        <v/>
      </c>
    </row>
    <row r="200" spans="1:24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6" t="str">
        <f t="shared" si="6"/>
        <v/>
      </c>
      <c r="X200" s="7" t="str">
        <f t="shared" si="7"/>
        <v/>
      </c>
    </row>
    <row r="201" spans="1:24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6" t="str">
        <f t="shared" si="6"/>
        <v/>
      </c>
      <c r="X201" s="7" t="str">
        <f t="shared" si="7"/>
        <v/>
      </c>
    </row>
    <row r="202" spans="1:24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6" t="str">
        <f t="shared" si="6"/>
        <v/>
      </c>
      <c r="X202" s="7" t="str">
        <f t="shared" si="7"/>
        <v/>
      </c>
    </row>
    <row r="203" spans="1:24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6" t="str">
        <f t="shared" si="6"/>
        <v/>
      </c>
      <c r="X203" s="7" t="str">
        <f t="shared" si="7"/>
        <v/>
      </c>
    </row>
    <row r="204" spans="1:2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6" t="str">
        <f t="shared" si="6"/>
        <v/>
      </c>
      <c r="X204" s="7" t="str">
        <f t="shared" si="7"/>
        <v/>
      </c>
    </row>
    <row r="205" spans="1:24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6" t="str">
        <f t="shared" si="6"/>
        <v/>
      </c>
      <c r="X205" s="7" t="str">
        <f t="shared" si="7"/>
        <v/>
      </c>
    </row>
    <row r="206" spans="1:24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6" t="str">
        <f t="shared" si="6"/>
        <v/>
      </c>
      <c r="X206" s="7" t="str">
        <f t="shared" si="7"/>
        <v/>
      </c>
    </row>
    <row r="207" spans="1:24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6" t="str">
        <f t="shared" si="6"/>
        <v/>
      </c>
      <c r="X207" s="7" t="str">
        <f t="shared" si="7"/>
        <v/>
      </c>
    </row>
    <row r="208" spans="1:24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6" t="str">
        <f t="shared" si="6"/>
        <v/>
      </c>
      <c r="X208" s="7" t="str">
        <f t="shared" si="7"/>
        <v/>
      </c>
    </row>
    <row r="209" spans="1:24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6" t="str">
        <f t="shared" si="6"/>
        <v/>
      </c>
      <c r="X209" s="7" t="str">
        <f t="shared" si="7"/>
        <v/>
      </c>
    </row>
    <row r="210" spans="1:24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6" t="str">
        <f t="shared" si="6"/>
        <v/>
      </c>
      <c r="X210" s="7" t="str">
        <f t="shared" si="7"/>
        <v/>
      </c>
    </row>
    <row r="211" spans="1:24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6" t="str">
        <f t="shared" si="6"/>
        <v/>
      </c>
      <c r="X211" s="7" t="str">
        <f t="shared" si="7"/>
        <v/>
      </c>
    </row>
    <row r="212" spans="1:24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6" t="str">
        <f t="shared" si="6"/>
        <v/>
      </c>
      <c r="X212" s="7" t="str">
        <f t="shared" si="7"/>
        <v/>
      </c>
    </row>
    <row r="213" spans="1:24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6" t="str">
        <f t="shared" si="6"/>
        <v/>
      </c>
      <c r="X213" s="7" t="str">
        <f t="shared" si="7"/>
        <v/>
      </c>
    </row>
    <row r="214" spans="1:2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6" t="str">
        <f t="shared" si="6"/>
        <v/>
      </c>
      <c r="X214" s="7" t="str">
        <f t="shared" si="7"/>
        <v/>
      </c>
    </row>
    <row r="215" spans="1:24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6" t="str">
        <f t="shared" si="6"/>
        <v/>
      </c>
      <c r="X215" s="7" t="str">
        <f t="shared" si="7"/>
        <v/>
      </c>
    </row>
    <row r="216" spans="1:24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6" t="str">
        <f t="shared" si="6"/>
        <v/>
      </c>
      <c r="X216" s="7" t="str">
        <f t="shared" si="7"/>
        <v/>
      </c>
    </row>
    <row r="217" spans="1:24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6" t="str">
        <f t="shared" si="6"/>
        <v/>
      </c>
      <c r="X217" s="7" t="str">
        <f t="shared" si="7"/>
        <v/>
      </c>
    </row>
    <row r="218" spans="1:24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6" t="str">
        <f t="shared" si="6"/>
        <v/>
      </c>
      <c r="X218" s="7" t="str">
        <f t="shared" si="7"/>
        <v/>
      </c>
    </row>
    <row r="219" spans="1:24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6" t="str">
        <f t="shared" si="6"/>
        <v/>
      </c>
      <c r="X219" s="7" t="str">
        <f t="shared" si="7"/>
        <v/>
      </c>
    </row>
    <row r="220" spans="1:24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6" t="str">
        <f t="shared" si="6"/>
        <v/>
      </c>
      <c r="X220" s="7" t="str">
        <f t="shared" si="7"/>
        <v/>
      </c>
    </row>
    <row r="221" spans="1:24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6" t="str">
        <f t="shared" si="6"/>
        <v/>
      </c>
      <c r="X221" s="7" t="str">
        <f t="shared" si="7"/>
        <v/>
      </c>
    </row>
    <row r="222" spans="1:24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6" t="str">
        <f t="shared" si="6"/>
        <v/>
      </c>
      <c r="X222" s="7" t="str">
        <f t="shared" si="7"/>
        <v/>
      </c>
    </row>
    <row r="223" spans="1:24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6" t="str">
        <f t="shared" si="6"/>
        <v/>
      </c>
      <c r="X223" s="7" t="str">
        <f t="shared" si="7"/>
        <v/>
      </c>
    </row>
    <row r="224" spans="1: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6" t="str">
        <f t="shared" si="6"/>
        <v/>
      </c>
      <c r="X224" s="7" t="str">
        <f t="shared" si="7"/>
        <v/>
      </c>
    </row>
    <row r="225" spans="1:24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6" t="str">
        <f t="shared" si="6"/>
        <v/>
      </c>
      <c r="X225" s="7" t="str">
        <f t="shared" si="7"/>
        <v/>
      </c>
    </row>
    <row r="226" spans="1:24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6" t="str">
        <f t="shared" si="6"/>
        <v/>
      </c>
      <c r="X226" s="7" t="str">
        <f t="shared" si="7"/>
        <v/>
      </c>
    </row>
    <row r="227" spans="1:24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6" t="str">
        <f t="shared" si="6"/>
        <v/>
      </c>
      <c r="X227" s="7" t="str">
        <f t="shared" si="7"/>
        <v/>
      </c>
    </row>
    <row r="228" spans="1:24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6" t="str">
        <f t="shared" si="6"/>
        <v/>
      </c>
      <c r="X228" s="7" t="str">
        <f t="shared" si="7"/>
        <v/>
      </c>
    </row>
    <row r="229" spans="1:24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6" t="str">
        <f t="shared" si="6"/>
        <v/>
      </c>
      <c r="X229" s="7" t="str">
        <f t="shared" si="7"/>
        <v/>
      </c>
    </row>
    <row r="230" spans="1:24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6" t="str">
        <f t="shared" si="6"/>
        <v/>
      </c>
      <c r="X230" s="7" t="str">
        <f t="shared" si="7"/>
        <v/>
      </c>
    </row>
    <row r="231" spans="1:24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6" t="str">
        <f t="shared" si="6"/>
        <v/>
      </c>
      <c r="X231" s="7" t="str">
        <f t="shared" si="7"/>
        <v/>
      </c>
    </row>
    <row r="232" spans="1:24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6" t="str">
        <f t="shared" si="6"/>
        <v/>
      </c>
      <c r="X232" s="7" t="str">
        <f t="shared" si="7"/>
        <v/>
      </c>
    </row>
    <row r="233" spans="1:24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6" t="str">
        <f t="shared" si="6"/>
        <v/>
      </c>
      <c r="X233" s="7" t="str">
        <f t="shared" si="7"/>
        <v/>
      </c>
    </row>
    <row r="234" spans="1:2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6" t="str">
        <f t="shared" si="6"/>
        <v/>
      </c>
      <c r="X234" s="7" t="str">
        <f t="shared" si="7"/>
        <v/>
      </c>
    </row>
    <row r="235" spans="1:24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6" t="str">
        <f t="shared" si="6"/>
        <v/>
      </c>
      <c r="X235" s="7" t="str">
        <f t="shared" si="7"/>
        <v/>
      </c>
    </row>
    <row r="236" spans="1:24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6" t="str">
        <f t="shared" si="6"/>
        <v/>
      </c>
      <c r="X236" s="7" t="str">
        <f t="shared" si="7"/>
        <v/>
      </c>
    </row>
    <row r="237" spans="1:24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6" t="str">
        <f t="shared" si="6"/>
        <v/>
      </c>
      <c r="X237" s="7" t="str">
        <f t="shared" si="7"/>
        <v/>
      </c>
    </row>
    <row r="238" spans="1:24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6" t="str">
        <f t="shared" si="6"/>
        <v/>
      </c>
      <c r="X238" s="7" t="str">
        <f t="shared" si="7"/>
        <v/>
      </c>
    </row>
    <row r="239" spans="1:24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6" t="str">
        <f t="shared" si="6"/>
        <v/>
      </c>
      <c r="X239" s="7" t="str">
        <f t="shared" si="7"/>
        <v/>
      </c>
    </row>
    <row r="240" spans="1:24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6" t="str">
        <f t="shared" si="6"/>
        <v/>
      </c>
      <c r="X240" s="7" t="str">
        <f t="shared" si="7"/>
        <v/>
      </c>
    </row>
    <row r="241" spans="1:24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6" t="str">
        <f t="shared" si="6"/>
        <v/>
      </c>
      <c r="X241" s="7" t="str">
        <f t="shared" si="7"/>
        <v/>
      </c>
    </row>
    <row r="242" spans="1:24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6" t="str">
        <f t="shared" si="6"/>
        <v/>
      </c>
      <c r="X242" s="7" t="str">
        <f t="shared" si="7"/>
        <v/>
      </c>
    </row>
    <row r="243" spans="1:24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6" t="str">
        <f t="shared" si="6"/>
        <v/>
      </c>
      <c r="X243" s="7" t="str">
        <f t="shared" si="7"/>
        <v/>
      </c>
    </row>
    <row r="244" spans="1:2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6" t="str">
        <f t="shared" si="6"/>
        <v/>
      </c>
      <c r="X244" s="7" t="str">
        <f t="shared" si="7"/>
        <v/>
      </c>
    </row>
    <row r="245" spans="1:24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6" t="str">
        <f t="shared" si="6"/>
        <v/>
      </c>
      <c r="X245" s="7" t="str">
        <f t="shared" si="7"/>
        <v/>
      </c>
    </row>
    <row r="246" spans="1:24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6" t="str">
        <f t="shared" si="6"/>
        <v/>
      </c>
      <c r="X246" s="7" t="str">
        <f t="shared" si="7"/>
        <v/>
      </c>
    </row>
    <row r="247" spans="1:24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6" t="str">
        <f t="shared" si="6"/>
        <v/>
      </c>
      <c r="X247" s="7" t="str">
        <f t="shared" si="7"/>
        <v/>
      </c>
    </row>
    <row r="248" spans="1:24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6" t="str">
        <f t="shared" si="6"/>
        <v/>
      </c>
      <c r="X248" s="7" t="str">
        <f t="shared" si="7"/>
        <v/>
      </c>
    </row>
    <row r="249" spans="1:24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6" t="str">
        <f t="shared" si="6"/>
        <v/>
      </c>
      <c r="X249" s="7" t="str">
        <f t="shared" si="7"/>
        <v/>
      </c>
    </row>
    <row r="250" spans="1:24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6" t="str">
        <f t="shared" si="6"/>
        <v/>
      </c>
      <c r="X250" s="7" t="str">
        <f t="shared" si="7"/>
        <v/>
      </c>
    </row>
    <row r="251" spans="1:24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6" t="str">
        <f t="shared" si="6"/>
        <v/>
      </c>
      <c r="X251" s="7" t="str">
        <f t="shared" si="7"/>
        <v/>
      </c>
    </row>
    <row r="252" spans="1:24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6" t="str">
        <f t="shared" si="6"/>
        <v/>
      </c>
      <c r="X252" s="7" t="str">
        <f t="shared" si="7"/>
        <v/>
      </c>
    </row>
    <row r="253" spans="1:24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6" t="str">
        <f t="shared" si="6"/>
        <v/>
      </c>
      <c r="X253" s="7" t="str">
        <f t="shared" si="7"/>
        <v/>
      </c>
    </row>
    <row r="254" spans="1:2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6" t="str">
        <f t="shared" si="6"/>
        <v/>
      </c>
      <c r="X254" s="7" t="str">
        <f t="shared" si="7"/>
        <v/>
      </c>
    </row>
    <row r="255" spans="1:24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6" t="str">
        <f t="shared" si="6"/>
        <v/>
      </c>
      <c r="X255" s="7" t="str">
        <f t="shared" si="7"/>
        <v/>
      </c>
    </row>
    <row r="256" spans="1:24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6" t="str">
        <f t="shared" si="6"/>
        <v/>
      </c>
      <c r="X256" s="7" t="str">
        <f t="shared" si="7"/>
        <v/>
      </c>
    </row>
    <row r="257" spans="1:24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6" t="str">
        <f t="shared" si="6"/>
        <v/>
      </c>
      <c r="X257" s="7" t="str">
        <f t="shared" si="7"/>
        <v/>
      </c>
    </row>
    <row r="258" spans="1:24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6" t="str">
        <f t="shared" si="6"/>
        <v/>
      </c>
      <c r="X258" s="7" t="str">
        <f t="shared" si="7"/>
        <v/>
      </c>
    </row>
    <row r="259" spans="1:24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6" t="str">
        <f t="shared" si="6"/>
        <v/>
      </c>
      <c r="X259" s="7" t="str">
        <f t="shared" si="7"/>
        <v/>
      </c>
    </row>
    <row r="260" spans="1:24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6" t="str">
        <f t="shared" si="6"/>
        <v/>
      </c>
      <c r="X260" s="7" t="str">
        <f t="shared" si="7"/>
        <v/>
      </c>
    </row>
    <row r="261" spans="1:24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6" t="str">
        <f t="shared" ref="W261:W324" si="8">IF(A261="","",IF(OR(A261="",B261="",C261="",E261="",F261="",I261="",J261="",K261="",M261="",N261="",O261="",AND(I261="Allocated",OR(Q261="",R261="")),AND(U261="Yes",V261="")),"Incomplete","Ready"))</f>
        <v/>
      </c>
      <c r="X261" s="7" t="str">
        <f t="shared" ref="X261:X324" si="9">IF(W261&lt;&gt;"Incomplete","",SUBSTITUTE(IF(B261="",", Street Address","")&amp;IF(C261="",", City","")&amp;IF(E261="",", Postcode","")&amp;IF(F261="",", Licensing Authority","")&amp;IF(I261="",", Status","")&amp;IF(J261="",", Firm","")&amp;IF(K261="",", Client","")&amp;IF(M261="",", Date of Instruction","")&amp;IF(N261="",", Instruction Type","")&amp;IF(O261="",", Reinstruction","")&amp;IF(AND(I261="Allocated",Q261=""),", Investigator","")&amp;IF(AND(I261="Allocated",R261=""),", Date Assigned","")&amp;IF(AND(U261="Yes",V261=""),", Licence Check Notes",""),", ","",1))</f>
        <v/>
      </c>
    </row>
    <row r="262" spans="1:24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6" t="str">
        <f t="shared" si="8"/>
        <v/>
      </c>
      <c r="X262" s="7" t="str">
        <f t="shared" si="9"/>
        <v/>
      </c>
    </row>
    <row r="263" spans="1:24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6" t="str">
        <f t="shared" si="8"/>
        <v/>
      </c>
      <c r="X263" s="7" t="str">
        <f t="shared" si="9"/>
        <v/>
      </c>
    </row>
    <row r="264" spans="1:2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6" t="str">
        <f t="shared" si="8"/>
        <v/>
      </c>
      <c r="X264" s="7" t="str">
        <f t="shared" si="9"/>
        <v/>
      </c>
    </row>
    <row r="265" spans="1:24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6" t="str">
        <f t="shared" si="8"/>
        <v/>
      </c>
      <c r="X265" s="7" t="str">
        <f t="shared" si="9"/>
        <v/>
      </c>
    </row>
    <row r="266" spans="1:24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6" t="str">
        <f t="shared" si="8"/>
        <v/>
      </c>
      <c r="X266" s="7" t="str">
        <f t="shared" si="9"/>
        <v/>
      </c>
    </row>
    <row r="267" spans="1:24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6" t="str">
        <f t="shared" si="8"/>
        <v/>
      </c>
      <c r="X267" s="7" t="str">
        <f t="shared" si="9"/>
        <v/>
      </c>
    </row>
    <row r="268" spans="1:24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6" t="str">
        <f t="shared" si="8"/>
        <v/>
      </c>
      <c r="X268" s="7" t="str">
        <f t="shared" si="9"/>
        <v/>
      </c>
    </row>
    <row r="269" spans="1:24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6" t="str">
        <f t="shared" si="8"/>
        <v/>
      </c>
      <c r="X269" s="7" t="str">
        <f t="shared" si="9"/>
        <v/>
      </c>
    </row>
    <row r="270" spans="1:24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6" t="str">
        <f t="shared" si="8"/>
        <v/>
      </c>
      <c r="X270" s="7" t="str">
        <f t="shared" si="9"/>
        <v/>
      </c>
    </row>
    <row r="271" spans="1:24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6" t="str">
        <f t="shared" si="8"/>
        <v/>
      </c>
      <c r="X271" s="7" t="str">
        <f t="shared" si="9"/>
        <v/>
      </c>
    </row>
    <row r="272" spans="1:24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6" t="str">
        <f t="shared" si="8"/>
        <v/>
      </c>
      <c r="X272" s="7" t="str">
        <f t="shared" si="9"/>
        <v/>
      </c>
    </row>
    <row r="273" spans="1:24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6" t="str">
        <f t="shared" si="8"/>
        <v/>
      </c>
      <c r="X273" s="7" t="str">
        <f t="shared" si="9"/>
        <v/>
      </c>
    </row>
    <row r="274" spans="1:2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6" t="str">
        <f t="shared" si="8"/>
        <v/>
      </c>
      <c r="X274" s="7" t="str">
        <f t="shared" si="9"/>
        <v/>
      </c>
    </row>
    <row r="275" spans="1:24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6" t="str">
        <f t="shared" si="8"/>
        <v/>
      </c>
      <c r="X275" s="7" t="str">
        <f t="shared" si="9"/>
        <v/>
      </c>
    </row>
    <row r="276" spans="1:24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6" t="str">
        <f t="shared" si="8"/>
        <v/>
      </c>
      <c r="X276" s="7" t="str">
        <f t="shared" si="9"/>
        <v/>
      </c>
    </row>
    <row r="277" spans="1:24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6" t="str">
        <f t="shared" si="8"/>
        <v/>
      </c>
      <c r="X277" s="7" t="str">
        <f t="shared" si="9"/>
        <v/>
      </c>
    </row>
    <row r="278" spans="1:24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6" t="str">
        <f t="shared" si="8"/>
        <v/>
      </c>
      <c r="X278" s="7" t="str">
        <f t="shared" si="9"/>
        <v/>
      </c>
    </row>
    <row r="279" spans="1:24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6" t="str">
        <f t="shared" si="8"/>
        <v/>
      </c>
      <c r="X279" s="7" t="str">
        <f t="shared" si="9"/>
        <v/>
      </c>
    </row>
    <row r="280" spans="1:24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6" t="str">
        <f t="shared" si="8"/>
        <v/>
      </c>
      <c r="X280" s="7" t="str">
        <f t="shared" si="9"/>
        <v/>
      </c>
    </row>
    <row r="281" spans="1:24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6" t="str">
        <f t="shared" si="8"/>
        <v/>
      </c>
      <c r="X281" s="7" t="str">
        <f t="shared" si="9"/>
        <v/>
      </c>
    </row>
    <row r="282" spans="1:24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6" t="str">
        <f t="shared" si="8"/>
        <v/>
      </c>
      <c r="X282" s="7" t="str">
        <f t="shared" si="9"/>
        <v/>
      </c>
    </row>
    <row r="283" spans="1:24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6" t="str">
        <f t="shared" si="8"/>
        <v/>
      </c>
      <c r="X283" s="7" t="str">
        <f t="shared" si="9"/>
        <v/>
      </c>
    </row>
    <row r="284" spans="1:2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6" t="str">
        <f t="shared" si="8"/>
        <v/>
      </c>
      <c r="X284" s="7" t="str">
        <f t="shared" si="9"/>
        <v/>
      </c>
    </row>
    <row r="285" spans="1:24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6" t="str">
        <f t="shared" si="8"/>
        <v/>
      </c>
      <c r="X285" s="7" t="str">
        <f t="shared" si="9"/>
        <v/>
      </c>
    </row>
    <row r="286" spans="1:24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6" t="str">
        <f t="shared" si="8"/>
        <v/>
      </c>
      <c r="X286" s="7" t="str">
        <f t="shared" si="9"/>
        <v/>
      </c>
    </row>
    <row r="287" spans="1:24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6" t="str">
        <f t="shared" si="8"/>
        <v/>
      </c>
      <c r="X287" s="7" t="str">
        <f t="shared" si="9"/>
        <v/>
      </c>
    </row>
    <row r="288" spans="1:24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6" t="str">
        <f t="shared" si="8"/>
        <v/>
      </c>
      <c r="X288" s="7" t="str">
        <f t="shared" si="9"/>
        <v/>
      </c>
    </row>
    <row r="289" spans="1:24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6" t="str">
        <f t="shared" si="8"/>
        <v/>
      </c>
      <c r="X289" s="7" t="str">
        <f t="shared" si="9"/>
        <v/>
      </c>
    </row>
    <row r="290" spans="1:24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6" t="str">
        <f t="shared" si="8"/>
        <v/>
      </c>
      <c r="X290" s="7" t="str">
        <f t="shared" si="9"/>
        <v/>
      </c>
    </row>
    <row r="291" spans="1:24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6" t="str">
        <f t="shared" si="8"/>
        <v/>
      </c>
      <c r="X291" s="7" t="str">
        <f t="shared" si="9"/>
        <v/>
      </c>
    </row>
    <row r="292" spans="1:24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6" t="str">
        <f t="shared" si="8"/>
        <v/>
      </c>
      <c r="X292" s="7" t="str">
        <f t="shared" si="9"/>
        <v/>
      </c>
    </row>
    <row r="293" spans="1:24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6" t="str">
        <f t="shared" si="8"/>
        <v/>
      </c>
      <c r="X293" s="7" t="str">
        <f t="shared" si="9"/>
        <v/>
      </c>
    </row>
    <row r="294" spans="1:2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6" t="str">
        <f t="shared" si="8"/>
        <v/>
      </c>
      <c r="X294" s="7" t="str">
        <f t="shared" si="9"/>
        <v/>
      </c>
    </row>
    <row r="295" spans="1:24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6" t="str">
        <f t="shared" si="8"/>
        <v/>
      </c>
      <c r="X295" s="7" t="str">
        <f t="shared" si="9"/>
        <v/>
      </c>
    </row>
    <row r="296" spans="1:24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6" t="str">
        <f t="shared" si="8"/>
        <v/>
      </c>
      <c r="X296" s="7" t="str">
        <f t="shared" si="9"/>
        <v/>
      </c>
    </row>
    <row r="297" spans="1:24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6" t="str">
        <f t="shared" si="8"/>
        <v/>
      </c>
      <c r="X297" s="7" t="str">
        <f t="shared" si="9"/>
        <v/>
      </c>
    </row>
    <row r="298" spans="1:24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6" t="str">
        <f t="shared" si="8"/>
        <v/>
      </c>
      <c r="X298" s="7" t="str">
        <f t="shared" si="9"/>
        <v/>
      </c>
    </row>
    <row r="299" spans="1:24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6" t="str">
        <f t="shared" si="8"/>
        <v/>
      </c>
      <c r="X299" s="7" t="str">
        <f t="shared" si="9"/>
        <v/>
      </c>
    </row>
    <row r="300" spans="1:24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6" t="str">
        <f t="shared" si="8"/>
        <v/>
      </c>
      <c r="X300" s="7" t="str">
        <f t="shared" si="9"/>
        <v/>
      </c>
    </row>
    <row r="301" spans="1:24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6" t="str">
        <f t="shared" si="8"/>
        <v/>
      </c>
      <c r="X301" s="7" t="str">
        <f t="shared" si="9"/>
        <v/>
      </c>
    </row>
    <row r="302" spans="1:24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6" t="str">
        <f t="shared" si="8"/>
        <v/>
      </c>
      <c r="X302" s="7" t="str">
        <f t="shared" si="9"/>
        <v/>
      </c>
    </row>
    <row r="303" spans="1:24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6" t="str">
        <f t="shared" si="8"/>
        <v/>
      </c>
      <c r="X303" s="7" t="str">
        <f t="shared" si="9"/>
        <v/>
      </c>
    </row>
    <row r="304" spans="1:2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6" t="str">
        <f t="shared" si="8"/>
        <v/>
      </c>
      <c r="X304" s="7" t="str">
        <f t="shared" si="9"/>
        <v/>
      </c>
    </row>
    <row r="305" spans="1:24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6" t="str">
        <f t="shared" si="8"/>
        <v/>
      </c>
      <c r="X305" s="7" t="str">
        <f t="shared" si="9"/>
        <v/>
      </c>
    </row>
    <row r="306" spans="1:24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6" t="str">
        <f t="shared" si="8"/>
        <v/>
      </c>
      <c r="X306" s="7" t="str">
        <f t="shared" si="9"/>
        <v/>
      </c>
    </row>
    <row r="307" spans="1:24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6" t="str">
        <f t="shared" si="8"/>
        <v/>
      </c>
      <c r="X307" s="7" t="str">
        <f t="shared" si="9"/>
        <v/>
      </c>
    </row>
    <row r="308" spans="1:24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6" t="str">
        <f t="shared" si="8"/>
        <v/>
      </c>
      <c r="X308" s="7" t="str">
        <f t="shared" si="9"/>
        <v/>
      </c>
    </row>
    <row r="309" spans="1:24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6" t="str">
        <f t="shared" si="8"/>
        <v/>
      </c>
      <c r="X309" s="7" t="str">
        <f t="shared" si="9"/>
        <v/>
      </c>
    </row>
    <row r="310" spans="1:24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6" t="str">
        <f t="shared" si="8"/>
        <v/>
      </c>
      <c r="X310" s="7" t="str">
        <f t="shared" si="9"/>
        <v/>
      </c>
    </row>
    <row r="311" spans="1:24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6" t="str">
        <f t="shared" si="8"/>
        <v/>
      </c>
      <c r="X311" s="7" t="str">
        <f t="shared" si="9"/>
        <v/>
      </c>
    </row>
    <row r="312" spans="1:24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6" t="str">
        <f t="shared" si="8"/>
        <v/>
      </c>
      <c r="X312" s="7" t="str">
        <f t="shared" si="9"/>
        <v/>
      </c>
    </row>
    <row r="313" spans="1:24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6" t="str">
        <f t="shared" si="8"/>
        <v/>
      </c>
      <c r="X313" s="7" t="str">
        <f t="shared" si="9"/>
        <v/>
      </c>
    </row>
    <row r="314" spans="1:2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6" t="str">
        <f t="shared" si="8"/>
        <v/>
      </c>
      <c r="X314" s="7" t="str">
        <f t="shared" si="9"/>
        <v/>
      </c>
    </row>
    <row r="315" spans="1:24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6" t="str">
        <f t="shared" si="8"/>
        <v/>
      </c>
      <c r="X315" s="7" t="str">
        <f t="shared" si="9"/>
        <v/>
      </c>
    </row>
    <row r="316" spans="1:24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6" t="str">
        <f t="shared" si="8"/>
        <v/>
      </c>
      <c r="X316" s="7" t="str">
        <f t="shared" si="9"/>
        <v/>
      </c>
    </row>
    <row r="317" spans="1:24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6" t="str">
        <f t="shared" si="8"/>
        <v/>
      </c>
      <c r="X317" s="7" t="str">
        <f t="shared" si="9"/>
        <v/>
      </c>
    </row>
    <row r="318" spans="1:24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6" t="str">
        <f t="shared" si="8"/>
        <v/>
      </c>
      <c r="X318" s="7" t="str">
        <f t="shared" si="9"/>
        <v/>
      </c>
    </row>
    <row r="319" spans="1:24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6" t="str">
        <f t="shared" si="8"/>
        <v/>
      </c>
      <c r="X319" s="7" t="str">
        <f t="shared" si="9"/>
        <v/>
      </c>
    </row>
    <row r="320" spans="1:24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6" t="str">
        <f t="shared" si="8"/>
        <v/>
      </c>
      <c r="X320" s="7" t="str">
        <f t="shared" si="9"/>
        <v/>
      </c>
    </row>
    <row r="321" spans="1:24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6" t="str">
        <f t="shared" si="8"/>
        <v/>
      </c>
      <c r="X321" s="7" t="str">
        <f t="shared" si="9"/>
        <v/>
      </c>
    </row>
    <row r="322" spans="1:24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6" t="str">
        <f t="shared" si="8"/>
        <v/>
      </c>
      <c r="X322" s="7" t="str">
        <f t="shared" si="9"/>
        <v/>
      </c>
    </row>
    <row r="323" spans="1:24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6" t="str">
        <f t="shared" si="8"/>
        <v/>
      </c>
      <c r="X323" s="7" t="str">
        <f t="shared" si="9"/>
        <v/>
      </c>
    </row>
    <row r="324" spans="1: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6" t="str">
        <f t="shared" si="8"/>
        <v/>
      </c>
      <c r="X324" s="7" t="str">
        <f t="shared" si="9"/>
        <v/>
      </c>
    </row>
    <row r="325" spans="1:24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6" t="str">
        <f t="shared" ref="W325:W388" si="10">IF(A325="","",IF(OR(A325="",B325="",C325="",E325="",F325="",I325="",J325="",K325="",M325="",N325="",O325="",AND(I325="Allocated",OR(Q325="",R325="")),AND(U325="Yes",V325="")),"Incomplete","Ready"))</f>
        <v/>
      </c>
      <c r="X325" s="7" t="str">
        <f t="shared" ref="X325:X388" si="11">IF(W325&lt;&gt;"Incomplete","",SUBSTITUTE(IF(B325="",", Street Address","")&amp;IF(C325="",", City","")&amp;IF(E325="",", Postcode","")&amp;IF(F325="",", Licensing Authority","")&amp;IF(I325="",", Status","")&amp;IF(J325="",", Firm","")&amp;IF(K325="",", Client","")&amp;IF(M325="",", Date of Instruction","")&amp;IF(N325="",", Instruction Type","")&amp;IF(O325="",", Reinstruction","")&amp;IF(AND(I325="Allocated",Q325=""),", Investigator","")&amp;IF(AND(I325="Allocated",R325=""),", Date Assigned","")&amp;IF(AND(U325="Yes",V325=""),", Licence Check Notes",""),", ","",1))</f>
        <v/>
      </c>
    </row>
    <row r="326" spans="1:24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6" t="str">
        <f t="shared" si="10"/>
        <v/>
      </c>
      <c r="X326" s="7" t="str">
        <f t="shared" si="11"/>
        <v/>
      </c>
    </row>
    <row r="327" spans="1:24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6" t="str">
        <f t="shared" si="10"/>
        <v/>
      </c>
      <c r="X327" s="7" t="str">
        <f t="shared" si="11"/>
        <v/>
      </c>
    </row>
    <row r="328" spans="1:24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6" t="str">
        <f t="shared" si="10"/>
        <v/>
      </c>
      <c r="X328" s="7" t="str">
        <f t="shared" si="11"/>
        <v/>
      </c>
    </row>
    <row r="329" spans="1:24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6" t="str">
        <f t="shared" si="10"/>
        <v/>
      </c>
      <c r="X329" s="7" t="str">
        <f t="shared" si="11"/>
        <v/>
      </c>
    </row>
    <row r="330" spans="1:24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6" t="str">
        <f t="shared" si="10"/>
        <v/>
      </c>
      <c r="X330" s="7" t="str">
        <f t="shared" si="11"/>
        <v/>
      </c>
    </row>
    <row r="331" spans="1:24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6" t="str">
        <f t="shared" si="10"/>
        <v/>
      </c>
      <c r="X331" s="7" t="str">
        <f t="shared" si="11"/>
        <v/>
      </c>
    </row>
    <row r="332" spans="1:24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6" t="str">
        <f t="shared" si="10"/>
        <v/>
      </c>
      <c r="X332" s="7" t="str">
        <f t="shared" si="11"/>
        <v/>
      </c>
    </row>
    <row r="333" spans="1:24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6" t="str">
        <f t="shared" si="10"/>
        <v/>
      </c>
      <c r="X333" s="7" t="str">
        <f t="shared" si="11"/>
        <v/>
      </c>
    </row>
    <row r="334" spans="1:2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6" t="str">
        <f t="shared" si="10"/>
        <v/>
      </c>
      <c r="X334" s="7" t="str">
        <f t="shared" si="11"/>
        <v/>
      </c>
    </row>
    <row r="335" spans="1:24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6" t="str">
        <f t="shared" si="10"/>
        <v/>
      </c>
      <c r="X335" s="7" t="str">
        <f t="shared" si="11"/>
        <v/>
      </c>
    </row>
    <row r="336" spans="1:24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6" t="str">
        <f t="shared" si="10"/>
        <v/>
      </c>
      <c r="X336" s="7" t="str">
        <f t="shared" si="11"/>
        <v/>
      </c>
    </row>
    <row r="337" spans="1:24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6" t="str">
        <f t="shared" si="10"/>
        <v/>
      </c>
      <c r="X337" s="7" t="str">
        <f t="shared" si="11"/>
        <v/>
      </c>
    </row>
    <row r="338" spans="1:24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6" t="str">
        <f t="shared" si="10"/>
        <v/>
      </c>
      <c r="X338" s="7" t="str">
        <f t="shared" si="11"/>
        <v/>
      </c>
    </row>
    <row r="339" spans="1:24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6" t="str">
        <f t="shared" si="10"/>
        <v/>
      </c>
      <c r="X339" s="7" t="str">
        <f t="shared" si="11"/>
        <v/>
      </c>
    </row>
    <row r="340" spans="1:24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6" t="str">
        <f t="shared" si="10"/>
        <v/>
      </c>
      <c r="X340" s="7" t="str">
        <f t="shared" si="11"/>
        <v/>
      </c>
    </row>
    <row r="341" spans="1:24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6" t="str">
        <f t="shared" si="10"/>
        <v/>
      </c>
      <c r="X341" s="7" t="str">
        <f t="shared" si="11"/>
        <v/>
      </c>
    </row>
    <row r="342" spans="1:24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6" t="str">
        <f t="shared" si="10"/>
        <v/>
      </c>
      <c r="X342" s="7" t="str">
        <f t="shared" si="11"/>
        <v/>
      </c>
    </row>
    <row r="343" spans="1:24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6" t="str">
        <f t="shared" si="10"/>
        <v/>
      </c>
      <c r="X343" s="7" t="str">
        <f t="shared" si="11"/>
        <v/>
      </c>
    </row>
    <row r="344" spans="1:2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6" t="str">
        <f t="shared" si="10"/>
        <v/>
      </c>
      <c r="X344" s="7" t="str">
        <f t="shared" si="11"/>
        <v/>
      </c>
    </row>
    <row r="345" spans="1:24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6" t="str">
        <f t="shared" si="10"/>
        <v/>
      </c>
      <c r="X345" s="7" t="str">
        <f t="shared" si="11"/>
        <v/>
      </c>
    </row>
    <row r="346" spans="1:24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6" t="str">
        <f t="shared" si="10"/>
        <v/>
      </c>
      <c r="X346" s="7" t="str">
        <f t="shared" si="11"/>
        <v/>
      </c>
    </row>
    <row r="347" spans="1:24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6" t="str">
        <f t="shared" si="10"/>
        <v/>
      </c>
      <c r="X347" s="7" t="str">
        <f t="shared" si="11"/>
        <v/>
      </c>
    </row>
    <row r="348" spans="1:24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6" t="str">
        <f t="shared" si="10"/>
        <v/>
      </c>
      <c r="X348" s="7" t="str">
        <f t="shared" si="11"/>
        <v/>
      </c>
    </row>
    <row r="349" spans="1:24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6" t="str">
        <f t="shared" si="10"/>
        <v/>
      </c>
      <c r="X349" s="7" t="str">
        <f t="shared" si="11"/>
        <v/>
      </c>
    </row>
    <row r="350" spans="1:24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6" t="str">
        <f t="shared" si="10"/>
        <v/>
      </c>
      <c r="X350" s="7" t="str">
        <f t="shared" si="11"/>
        <v/>
      </c>
    </row>
    <row r="351" spans="1:24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6" t="str">
        <f t="shared" si="10"/>
        <v/>
      </c>
      <c r="X351" s="7" t="str">
        <f t="shared" si="11"/>
        <v/>
      </c>
    </row>
    <row r="352" spans="1:24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6" t="str">
        <f t="shared" si="10"/>
        <v/>
      </c>
      <c r="X352" s="7" t="str">
        <f t="shared" si="11"/>
        <v/>
      </c>
    </row>
    <row r="353" spans="1:24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6" t="str">
        <f t="shared" si="10"/>
        <v/>
      </c>
      <c r="X353" s="7" t="str">
        <f t="shared" si="11"/>
        <v/>
      </c>
    </row>
    <row r="354" spans="1:2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6" t="str">
        <f t="shared" si="10"/>
        <v/>
      </c>
      <c r="X354" s="7" t="str">
        <f t="shared" si="11"/>
        <v/>
      </c>
    </row>
    <row r="355" spans="1:24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6" t="str">
        <f t="shared" si="10"/>
        <v/>
      </c>
      <c r="X355" s="7" t="str">
        <f t="shared" si="11"/>
        <v/>
      </c>
    </row>
    <row r="356" spans="1:24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6" t="str">
        <f t="shared" si="10"/>
        <v/>
      </c>
      <c r="X356" s="7" t="str">
        <f t="shared" si="11"/>
        <v/>
      </c>
    </row>
    <row r="357" spans="1:24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6" t="str">
        <f t="shared" si="10"/>
        <v/>
      </c>
      <c r="X357" s="7" t="str">
        <f t="shared" si="11"/>
        <v/>
      </c>
    </row>
    <row r="358" spans="1:24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6" t="str">
        <f t="shared" si="10"/>
        <v/>
      </c>
      <c r="X358" s="7" t="str">
        <f t="shared" si="11"/>
        <v/>
      </c>
    </row>
    <row r="359" spans="1:24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6" t="str">
        <f t="shared" si="10"/>
        <v/>
      </c>
      <c r="X359" s="7" t="str">
        <f t="shared" si="11"/>
        <v/>
      </c>
    </row>
    <row r="360" spans="1:24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6" t="str">
        <f t="shared" si="10"/>
        <v/>
      </c>
      <c r="X360" s="7" t="str">
        <f t="shared" si="11"/>
        <v/>
      </c>
    </row>
    <row r="361" spans="1:24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6" t="str">
        <f t="shared" si="10"/>
        <v/>
      </c>
      <c r="X361" s="7" t="str">
        <f t="shared" si="11"/>
        <v/>
      </c>
    </row>
    <row r="362" spans="1:24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6" t="str">
        <f t="shared" si="10"/>
        <v/>
      </c>
      <c r="X362" s="7" t="str">
        <f t="shared" si="11"/>
        <v/>
      </c>
    </row>
    <row r="363" spans="1:24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6" t="str">
        <f t="shared" si="10"/>
        <v/>
      </c>
      <c r="X363" s="7" t="str">
        <f t="shared" si="11"/>
        <v/>
      </c>
    </row>
    <row r="364" spans="1:2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6" t="str">
        <f t="shared" si="10"/>
        <v/>
      </c>
      <c r="X364" s="7" t="str">
        <f t="shared" si="11"/>
        <v/>
      </c>
    </row>
    <row r="365" spans="1:24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6" t="str">
        <f t="shared" si="10"/>
        <v/>
      </c>
      <c r="X365" s="7" t="str">
        <f t="shared" si="11"/>
        <v/>
      </c>
    </row>
    <row r="366" spans="1:24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6" t="str">
        <f t="shared" si="10"/>
        <v/>
      </c>
      <c r="X366" s="7" t="str">
        <f t="shared" si="11"/>
        <v/>
      </c>
    </row>
    <row r="367" spans="1:24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6" t="str">
        <f t="shared" si="10"/>
        <v/>
      </c>
      <c r="X367" s="7" t="str">
        <f t="shared" si="11"/>
        <v/>
      </c>
    </row>
    <row r="368" spans="1:24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6" t="str">
        <f t="shared" si="10"/>
        <v/>
      </c>
      <c r="X368" s="7" t="str">
        <f t="shared" si="11"/>
        <v/>
      </c>
    </row>
    <row r="369" spans="1:24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6" t="str">
        <f t="shared" si="10"/>
        <v/>
      </c>
      <c r="X369" s="7" t="str">
        <f t="shared" si="11"/>
        <v/>
      </c>
    </row>
    <row r="370" spans="1:24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6" t="str">
        <f t="shared" si="10"/>
        <v/>
      </c>
      <c r="X370" s="7" t="str">
        <f t="shared" si="11"/>
        <v/>
      </c>
    </row>
    <row r="371" spans="1:24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6" t="str">
        <f t="shared" si="10"/>
        <v/>
      </c>
      <c r="X371" s="7" t="str">
        <f t="shared" si="11"/>
        <v/>
      </c>
    </row>
    <row r="372" spans="1:24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6" t="str">
        <f t="shared" si="10"/>
        <v/>
      </c>
      <c r="X372" s="7" t="str">
        <f t="shared" si="11"/>
        <v/>
      </c>
    </row>
    <row r="373" spans="1:24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6" t="str">
        <f t="shared" si="10"/>
        <v/>
      </c>
      <c r="X373" s="7" t="str">
        <f t="shared" si="11"/>
        <v/>
      </c>
    </row>
    <row r="374" spans="1:2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6" t="str">
        <f t="shared" si="10"/>
        <v/>
      </c>
      <c r="X374" s="7" t="str">
        <f t="shared" si="11"/>
        <v/>
      </c>
    </row>
    <row r="375" spans="1:24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6" t="str">
        <f t="shared" si="10"/>
        <v/>
      </c>
      <c r="X375" s="7" t="str">
        <f t="shared" si="11"/>
        <v/>
      </c>
    </row>
    <row r="376" spans="1:24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6" t="str">
        <f t="shared" si="10"/>
        <v/>
      </c>
      <c r="X376" s="7" t="str">
        <f t="shared" si="11"/>
        <v/>
      </c>
    </row>
    <row r="377" spans="1:24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6" t="str">
        <f t="shared" si="10"/>
        <v/>
      </c>
      <c r="X377" s="7" t="str">
        <f t="shared" si="11"/>
        <v/>
      </c>
    </row>
    <row r="378" spans="1:24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6" t="str">
        <f t="shared" si="10"/>
        <v/>
      </c>
      <c r="X378" s="7" t="str">
        <f t="shared" si="11"/>
        <v/>
      </c>
    </row>
    <row r="379" spans="1:24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6" t="str">
        <f t="shared" si="10"/>
        <v/>
      </c>
      <c r="X379" s="7" t="str">
        <f t="shared" si="11"/>
        <v/>
      </c>
    </row>
    <row r="380" spans="1:24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6" t="str">
        <f t="shared" si="10"/>
        <v/>
      </c>
      <c r="X380" s="7" t="str">
        <f t="shared" si="11"/>
        <v/>
      </c>
    </row>
    <row r="381" spans="1:24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6" t="str">
        <f t="shared" si="10"/>
        <v/>
      </c>
      <c r="X381" s="7" t="str">
        <f t="shared" si="11"/>
        <v/>
      </c>
    </row>
    <row r="382" spans="1:24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6" t="str">
        <f t="shared" si="10"/>
        <v/>
      </c>
      <c r="X382" s="7" t="str">
        <f t="shared" si="11"/>
        <v/>
      </c>
    </row>
    <row r="383" spans="1:24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6" t="str">
        <f t="shared" si="10"/>
        <v/>
      </c>
      <c r="X383" s="7" t="str">
        <f t="shared" si="11"/>
        <v/>
      </c>
    </row>
    <row r="384" spans="1:2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6" t="str">
        <f t="shared" si="10"/>
        <v/>
      </c>
      <c r="X384" s="7" t="str">
        <f t="shared" si="11"/>
        <v/>
      </c>
    </row>
    <row r="385" spans="1:24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6" t="str">
        <f t="shared" si="10"/>
        <v/>
      </c>
      <c r="X385" s="7" t="str">
        <f t="shared" si="11"/>
        <v/>
      </c>
    </row>
    <row r="386" spans="1:24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6" t="str">
        <f t="shared" si="10"/>
        <v/>
      </c>
      <c r="X386" s="7" t="str">
        <f t="shared" si="11"/>
        <v/>
      </c>
    </row>
    <row r="387" spans="1:24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6" t="str">
        <f t="shared" si="10"/>
        <v/>
      </c>
      <c r="X387" s="7" t="str">
        <f t="shared" si="11"/>
        <v/>
      </c>
    </row>
    <row r="388" spans="1:24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6" t="str">
        <f t="shared" si="10"/>
        <v/>
      </c>
      <c r="X388" s="7" t="str">
        <f t="shared" si="11"/>
        <v/>
      </c>
    </row>
    <row r="389" spans="1:24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6" t="str">
        <f t="shared" ref="W389:W452" si="12">IF(A389="","",IF(OR(A389="",B389="",C389="",E389="",F389="",I389="",J389="",K389="",M389="",N389="",O389="",AND(I389="Allocated",OR(Q389="",R389="")),AND(U389="Yes",V389="")),"Incomplete","Ready"))</f>
        <v/>
      </c>
      <c r="X389" s="7" t="str">
        <f t="shared" ref="X389:X452" si="13">IF(W389&lt;&gt;"Incomplete","",SUBSTITUTE(IF(B389="",", Street Address","")&amp;IF(C389="",", City","")&amp;IF(E389="",", Postcode","")&amp;IF(F389="",", Licensing Authority","")&amp;IF(I389="",", Status","")&amp;IF(J389="",", Firm","")&amp;IF(K389="",", Client","")&amp;IF(M389="",", Date of Instruction","")&amp;IF(N389="",", Instruction Type","")&amp;IF(O389="",", Reinstruction","")&amp;IF(AND(I389="Allocated",Q389=""),", Investigator","")&amp;IF(AND(I389="Allocated",R389=""),", Date Assigned","")&amp;IF(AND(U389="Yes",V389=""),", Licence Check Notes",""),", ","",1))</f>
        <v/>
      </c>
    </row>
    <row r="390" spans="1:24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6" t="str">
        <f t="shared" si="12"/>
        <v/>
      </c>
      <c r="X390" s="7" t="str">
        <f t="shared" si="13"/>
        <v/>
      </c>
    </row>
    <row r="391" spans="1:24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6" t="str">
        <f t="shared" si="12"/>
        <v/>
      </c>
      <c r="X391" s="7" t="str">
        <f t="shared" si="13"/>
        <v/>
      </c>
    </row>
    <row r="392" spans="1:24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6" t="str">
        <f t="shared" si="12"/>
        <v/>
      </c>
      <c r="X392" s="7" t="str">
        <f t="shared" si="13"/>
        <v/>
      </c>
    </row>
    <row r="393" spans="1:24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6" t="str">
        <f t="shared" si="12"/>
        <v/>
      </c>
      <c r="X393" s="7" t="str">
        <f t="shared" si="13"/>
        <v/>
      </c>
    </row>
    <row r="394" spans="1:2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6" t="str">
        <f t="shared" si="12"/>
        <v/>
      </c>
      <c r="X394" s="7" t="str">
        <f t="shared" si="13"/>
        <v/>
      </c>
    </row>
    <row r="395" spans="1:24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6" t="str">
        <f t="shared" si="12"/>
        <v/>
      </c>
      <c r="X395" s="7" t="str">
        <f t="shared" si="13"/>
        <v/>
      </c>
    </row>
    <row r="396" spans="1:24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6" t="str">
        <f t="shared" si="12"/>
        <v/>
      </c>
      <c r="X396" s="7" t="str">
        <f t="shared" si="13"/>
        <v/>
      </c>
    </row>
    <row r="397" spans="1:24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6" t="str">
        <f t="shared" si="12"/>
        <v/>
      </c>
      <c r="X397" s="7" t="str">
        <f t="shared" si="13"/>
        <v/>
      </c>
    </row>
    <row r="398" spans="1:24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6" t="str">
        <f t="shared" si="12"/>
        <v/>
      </c>
      <c r="X398" s="7" t="str">
        <f t="shared" si="13"/>
        <v/>
      </c>
    </row>
    <row r="399" spans="1:24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6" t="str">
        <f t="shared" si="12"/>
        <v/>
      </c>
      <c r="X399" s="7" t="str">
        <f t="shared" si="13"/>
        <v/>
      </c>
    </row>
    <row r="400" spans="1:24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6" t="str">
        <f t="shared" si="12"/>
        <v/>
      </c>
      <c r="X400" s="7" t="str">
        <f t="shared" si="13"/>
        <v/>
      </c>
    </row>
    <row r="401" spans="1:24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6" t="str">
        <f t="shared" si="12"/>
        <v/>
      </c>
      <c r="X401" s="7" t="str">
        <f t="shared" si="13"/>
        <v/>
      </c>
    </row>
    <row r="402" spans="1:24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6" t="str">
        <f t="shared" si="12"/>
        <v/>
      </c>
      <c r="X402" s="7" t="str">
        <f t="shared" si="13"/>
        <v/>
      </c>
    </row>
    <row r="403" spans="1:24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6" t="str">
        <f t="shared" si="12"/>
        <v/>
      </c>
      <c r="X403" s="7" t="str">
        <f t="shared" si="13"/>
        <v/>
      </c>
    </row>
    <row r="404" spans="1:2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6" t="str">
        <f t="shared" si="12"/>
        <v/>
      </c>
      <c r="X404" s="7" t="str">
        <f t="shared" si="13"/>
        <v/>
      </c>
    </row>
  </sheetData>
  <mergeCells count="5">
    <mergeCell ref="Q1:R1"/>
    <mergeCell ref="W1:X1"/>
    <mergeCell ref="A1:H1"/>
    <mergeCell ref="I1:P1"/>
    <mergeCell ref="S1:V1"/>
  </mergeCells>
  <conditionalFormatting sqref="A5:A404">
    <cfRule type="expression" dxfId="18" priority="1">
      <formula>AND($A5="",$A5&lt;&gt;"",ROW()&gt;=6)</formula>
    </cfRule>
  </conditionalFormatting>
  <conditionalFormatting sqref="B5:B404">
    <cfRule type="expression" dxfId="17" priority="2">
      <formula>AND($B5="",$A5&lt;&gt;"",ROW()&gt;=6)</formula>
    </cfRule>
  </conditionalFormatting>
  <conditionalFormatting sqref="C5:C404">
    <cfRule type="expression" dxfId="16" priority="3">
      <formula>AND($C5="",$A5&lt;&gt;"",ROW()&gt;=6)</formula>
    </cfRule>
  </conditionalFormatting>
  <conditionalFormatting sqref="E5:E404">
    <cfRule type="expression" dxfId="15" priority="4">
      <formula>AND($E5="",$A5&lt;&gt;"",ROW()&gt;=6)</formula>
    </cfRule>
  </conditionalFormatting>
  <conditionalFormatting sqref="F5:F404">
    <cfRule type="expression" dxfId="14" priority="5">
      <formula>AND($F5="",$A5&lt;&gt;"",ROW()&gt;=6)</formula>
    </cfRule>
  </conditionalFormatting>
  <conditionalFormatting sqref="I5:I404">
    <cfRule type="expression" dxfId="13" priority="6">
      <formula>AND($I5="",$A5&lt;&gt;"",ROW()&gt;=6)</formula>
    </cfRule>
  </conditionalFormatting>
  <conditionalFormatting sqref="J5:J404">
    <cfRule type="expression" dxfId="12" priority="7">
      <formula>AND($J5="",$A5&lt;&gt;"",ROW()&gt;=6)</formula>
    </cfRule>
    <cfRule type="expression" dxfId="11" priority="17">
      <formula>$J5="Other – advise A2Z Cloud"</formula>
    </cfRule>
  </conditionalFormatting>
  <conditionalFormatting sqref="K5:K404">
    <cfRule type="expression" dxfId="10" priority="8">
      <formula>AND($K5="",$A5&lt;&gt;"",ROW()&gt;=6)</formula>
    </cfRule>
    <cfRule type="expression" dxfId="9" priority="18">
      <formula>$K5="Other – advise A2Z Cloud"</formula>
    </cfRule>
  </conditionalFormatting>
  <conditionalFormatting sqref="M5:M404">
    <cfRule type="expression" dxfId="8" priority="9">
      <formula>AND($M5="",$A5&lt;&gt;"",ROW()&gt;=6)</formula>
    </cfRule>
  </conditionalFormatting>
  <conditionalFormatting sqref="N5:N404">
    <cfRule type="expression" dxfId="7" priority="10">
      <formula>AND($N5="",$A5&lt;&gt;"",ROW()&gt;=6)</formula>
    </cfRule>
  </conditionalFormatting>
  <conditionalFormatting sqref="O5:O404">
    <cfRule type="expression" dxfId="6" priority="11">
      <formula>AND($O5="",$A5&lt;&gt;"",ROW()&gt;=6)</formula>
    </cfRule>
  </conditionalFormatting>
  <conditionalFormatting sqref="Q5:Q404">
    <cfRule type="expression" dxfId="5" priority="12">
      <formula>AND($Q5="",$I5="Allocated")</formula>
    </cfRule>
    <cfRule type="expression" dxfId="4" priority="19">
      <formula>$Q5="Other – advise A2Z Cloud"</formula>
    </cfRule>
  </conditionalFormatting>
  <conditionalFormatting sqref="R5:R404">
    <cfRule type="expression" dxfId="3" priority="13">
      <formula>AND($R5="",$I5="Allocated")</formula>
    </cfRule>
  </conditionalFormatting>
  <conditionalFormatting sqref="V5:V404">
    <cfRule type="expression" dxfId="2" priority="14">
      <formula>AND($V5="",$U5="Yes")</formula>
    </cfRule>
  </conditionalFormatting>
  <conditionalFormatting sqref="W5:W404">
    <cfRule type="expression" dxfId="1" priority="15">
      <formula>$W5="Ready"</formula>
    </cfRule>
    <cfRule type="expression" dxfId="0" priority="16">
      <formula>$W5="Incomplete"</formula>
    </cfRule>
  </conditionalFormatting>
  <dataValidations count="9">
    <dataValidation type="list" allowBlank="1" showErrorMessage="1" errorTitle="Invalid value" error="Pick from the dropdown list." sqref="I5:I404" xr:uid="{00000000-0002-0000-0000-000000000000}">
      <formula1>InstructionStatus</formula1>
    </dataValidation>
    <dataValidation type="list" allowBlank="1" showErrorMessage="1" errorTitle="Invalid value" error="Pick from the dropdown list." sqref="J5:J404" xr:uid="{00000000-0002-0000-0000-000001000000}">
      <formula1>Firms</formula1>
    </dataValidation>
    <dataValidation type="list" allowBlank="1" showErrorMessage="1" errorTitle="Invalid value" error="Pick from the dropdown list." sqref="K5:K404" xr:uid="{00000000-0002-0000-0000-000002000000}">
      <formula1>Clients</formula1>
    </dataValidation>
    <dataValidation type="list" allowBlank="1" showErrorMessage="1" errorTitle="Invalid value" error="Pick from the dropdown list." sqref="N5:N404" xr:uid="{00000000-0002-0000-0000-000003000000}">
      <formula1>InstructionType</formula1>
    </dataValidation>
    <dataValidation type="list" allowBlank="1" showErrorMessage="1" errorTitle="Invalid value" error="Pick from the dropdown list." sqref="O5:O404" xr:uid="{00000000-0002-0000-0000-000004000000}">
      <formula1>YesNo</formula1>
    </dataValidation>
    <dataValidation type="list" allowBlank="1" showErrorMessage="1" errorTitle="Invalid value" error="Pick from the dropdown list." sqref="Q5:Q404" xr:uid="{00000000-0002-0000-0000-000005000000}">
      <formula1>Investigators</formula1>
    </dataValidation>
    <dataValidation type="list" allowBlank="1" showErrorMessage="1" errorTitle="Invalid value" error="Pick from the dropdown list." sqref="S5:S404" xr:uid="{00000000-0002-0000-0000-000006000000}">
      <formula1>CouncilMethod</formula1>
    </dataValidation>
    <dataValidation type="list" allowBlank="1" showErrorMessage="1" errorTitle="Invalid value" error="Pick from the dropdown list." sqref="U5:U404" xr:uid="{00000000-0002-0000-0000-000007000000}">
      <formula1>CouncilResponse</formula1>
    </dataValidation>
    <dataValidation type="date" allowBlank="1" showErrorMessage="1" errorTitle="Date format" error="Please enter a valid date in DD/MM/YYYY format." sqref="M5:M404 T5:T404 R5:R404" xr:uid="{00000000-0002-0000-0000-000008000000}"/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58"/>
  <sheetViews>
    <sheetView showGridLines="0" workbookViewId="0">
      <pane ySplit="2" topLeftCell="A3" activePane="bottomLeft" state="frozen"/>
      <selection pane="bottomLeft"/>
    </sheetView>
  </sheetViews>
  <sheetFormatPr defaultRowHeight="14.6"/>
  <cols>
    <col min="1" max="1" width="22" customWidth="1"/>
    <col min="2" max="2" width="12" customWidth="1"/>
    <col min="3" max="3" width="24" customWidth="1"/>
    <col min="4" max="4" width="16" customWidth="1"/>
    <col min="5" max="6" width="22" customWidth="1"/>
    <col min="7" max="7" width="14" customWidth="1"/>
    <col min="8" max="8" width="18" customWidth="1"/>
    <col min="9" max="9" width="14" customWidth="1"/>
    <col min="10" max="10" width="18" customWidth="1"/>
    <col min="11" max="11" width="26" customWidth="1"/>
    <col min="12" max="12" width="16" customWidth="1"/>
    <col min="13" max="14" width="14" customWidth="1"/>
    <col min="15" max="15" width="16" customWidth="1"/>
    <col min="16" max="17" width="18" customWidth="1"/>
  </cols>
  <sheetData>
    <row r="1" spans="1:17" ht="28" customHeight="1">
      <c r="A1" s="17" t="s">
        <v>74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</row>
    <row r="2" spans="1:17" ht="26.05" customHeight="1">
      <c r="A2" s="2" t="s">
        <v>75</v>
      </c>
      <c r="B2" s="2" t="s">
        <v>76</v>
      </c>
      <c r="C2" s="2" t="s">
        <v>77</v>
      </c>
      <c r="D2" s="2" t="s">
        <v>78</v>
      </c>
      <c r="E2" s="2" t="s">
        <v>79</v>
      </c>
      <c r="F2" s="2" t="s">
        <v>80</v>
      </c>
      <c r="G2" s="2" t="s">
        <v>81</v>
      </c>
      <c r="H2" s="2" t="s">
        <v>82</v>
      </c>
      <c r="I2" s="2" t="s">
        <v>83</v>
      </c>
      <c r="J2" s="2" t="s">
        <v>84</v>
      </c>
      <c r="K2" s="2" t="s">
        <v>85</v>
      </c>
      <c r="L2" s="2" t="s">
        <v>86</v>
      </c>
      <c r="M2" s="2" t="s">
        <v>87</v>
      </c>
      <c r="N2" s="2" t="s">
        <v>88</v>
      </c>
      <c r="O2" s="2" t="s">
        <v>89</v>
      </c>
      <c r="P2" s="2" t="s">
        <v>90</v>
      </c>
      <c r="Q2" s="2" t="s">
        <v>91</v>
      </c>
    </row>
    <row r="3" spans="1:17" ht="20.05" customHeight="1">
      <c r="A3" s="8" t="s">
        <v>92</v>
      </c>
      <c r="B3" s="8" t="s">
        <v>93</v>
      </c>
      <c r="C3" s="8" t="s">
        <v>94</v>
      </c>
      <c r="D3" s="8"/>
      <c r="E3" s="8"/>
      <c r="F3" s="8"/>
      <c r="G3" s="8"/>
      <c r="H3" s="8" t="s">
        <v>95</v>
      </c>
      <c r="I3" s="8" t="s">
        <v>96</v>
      </c>
      <c r="J3" s="8" t="s">
        <v>97</v>
      </c>
      <c r="K3" s="8"/>
      <c r="L3" s="8"/>
      <c r="M3" s="8"/>
      <c r="N3" s="8"/>
      <c r="O3" s="8"/>
      <c r="P3" s="8">
        <v>0</v>
      </c>
      <c r="Q3" s="8"/>
    </row>
    <row r="4" spans="1:17" ht="20.05" customHeight="1">
      <c r="A4" s="8" t="s">
        <v>61</v>
      </c>
      <c r="B4" s="8" t="s">
        <v>93</v>
      </c>
      <c r="C4" s="8" t="s">
        <v>61</v>
      </c>
      <c r="D4" s="8" t="s">
        <v>98</v>
      </c>
      <c r="E4" s="8"/>
      <c r="F4" s="8" t="s">
        <v>99</v>
      </c>
      <c r="G4" s="8"/>
      <c r="H4" s="8"/>
      <c r="I4" s="8" t="s">
        <v>96</v>
      </c>
      <c r="J4" s="8" t="s">
        <v>100</v>
      </c>
      <c r="K4" s="8" t="s">
        <v>101</v>
      </c>
      <c r="L4" s="8" t="s">
        <v>102</v>
      </c>
      <c r="M4" s="8" t="s">
        <v>103</v>
      </c>
      <c r="N4" s="8"/>
      <c r="O4" s="8"/>
      <c r="P4" s="8"/>
      <c r="Q4" s="8"/>
    </row>
    <row r="5" spans="1:17" ht="20.05" customHeight="1">
      <c r="A5" s="8" t="s">
        <v>104</v>
      </c>
      <c r="B5" s="8" t="s">
        <v>105</v>
      </c>
      <c r="C5" s="8" t="s">
        <v>104</v>
      </c>
      <c r="D5" s="8" t="s">
        <v>106</v>
      </c>
      <c r="E5" s="8"/>
      <c r="F5" s="8" t="s">
        <v>107</v>
      </c>
      <c r="G5" s="8"/>
      <c r="H5" s="8"/>
      <c r="I5" s="8" t="s">
        <v>96</v>
      </c>
      <c r="J5" s="8" t="s">
        <v>100</v>
      </c>
      <c r="K5" s="8" t="s">
        <v>108</v>
      </c>
      <c r="L5" s="8" t="s">
        <v>102</v>
      </c>
      <c r="M5" s="8" t="s">
        <v>109</v>
      </c>
      <c r="N5" s="8"/>
      <c r="O5" s="8"/>
      <c r="P5" s="8"/>
      <c r="Q5" s="8"/>
    </row>
    <row r="6" spans="1:17" ht="20.05" customHeight="1">
      <c r="A6" s="8" t="s">
        <v>110</v>
      </c>
      <c r="B6" s="8" t="s">
        <v>111</v>
      </c>
      <c r="C6" s="8" t="s">
        <v>110</v>
      </c>
      <c r="D6" s="8" t="s">
        <v>112</v>
      </c>
      <c r="E6" s="8"/>
      <c r="F6" s="8" t="s">
        <v>113</v>
      </c>
      <c r="G6" s="8"/>
      <c r="H6" s="8"/>
      <c r="I6" s="8" t="s">
        <v>96</v>
      </c>
      <c r="J6" s="8" t="s">
        <v>100</v>
      </c>
      <c r="K6" s="8" t="s">
        <v>114</v>
      </c>
      <c r="L6" s="8" t="s">
        <v>115</v>
      </c>
      <c r="M6" s="8" t="s">
        <v>116</v>
      </c>
      <c r="N6" s="8"/>
      <c r="O6" s="8"/>
      <c r="P6" s="8"/>
      <c r="Q6" s="8"/>
    </row>
    <row r="7" spans="1:17" ht="20.05" customHeight="1">
      <c r="A7" s="8" t="s">
        <v>117</v>
      </c>
      <c r="B7" s="8" t="s">
        <v>111</v>
      </c>
      <c r="C7" s="8" t="s">
        <v>117</v>
      </c>
      <c r="D7" s="8" t="s">
        <v>118</v>
      </c>
      <c r="E7" s="8"/>
      <c r="F7" s="8" t="s">
        <v>119</v>
      </c>
      <c r="G7" s="8"/>
      <c r="H7" s="8"/>
      <c r="I7" s="8" t="s">
        <v>96</v>
      </c>
      <c r="J7" s="8" t="s">
        <v>100</v>
      </c>
      <c r="K7" s="8" t="s">
        <v>120</v>
      </c>
      <c r="L7" s="8" t="s">
        <v>115</v>
      </c>
      <c r="M7" s="8" t="s">
        <v>121</v>
      </c>
      <c r="N7" s="8"/>
      <c r="O7" s="8"/>
      <c r="P7" s="8"/>
      <c r="Q7" s="8"/>
    </row>
    <row r="8" spans="1:17" ht="18" customHeight="1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ht="18" customHeight="1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</row>
    <row r="10" spans="1:17" ht="18" customHeight="1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</row>
    <row r="11" spans="1:17" ht="18" customHeight="1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</row>
    <row r="12" spans="1:17" ht="18" customHeight="1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 ht="18" customHeight="1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 ht="18" customHeight="1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</row>
    <row r="15" spans="1:17" ht="18" customHeight="1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</row>
    <row r="16" spans="1:17" ht="18" customHeight="1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</row>
    <row r="17" spans="1:17" ht="18" customHeight="1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</row>
    <row r="18" spans="1:17" ht="18" customHeight="1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</row>
    <row r="19" spans="1:17" ht="18" customHeight="1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</row>
    <row r="20" spans="1:17" ht="18" customHeight="1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 ht="18" customHeight="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 ht="18" customHeight="1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 ht="18" customHeight="1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 ht="18" customHeight="1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 ht="18" customHeight="1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 ht="18" customHeight="1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 ht="18" customHeight="1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 ht="18" customHeight="1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 ht="18" customHeight="1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 ht="18" customHeight="1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 ht="18" customHeight="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 ht="18" customHeight="1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 ht="18" customHeight="1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 ht="18" customHeight="1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 ht="18" customHeight="1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 ht="18" customHeight="1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 ht="18" customHeight="1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 ht="18" customHeight="1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 ht="18" customHeight="1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 ht="18" customHeight="1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 ht="18" customHeight="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 ht="18" customHeight="1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 ht="18" customHeight="1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 ht="18" customHeight="1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 ht="18" customHeight="1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 ht="18" customHeight="1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 ht="18" customHeight="1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 ht="18" customHeight="1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 ht="18" customHeight="1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 ht="18" customHeight="1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 ht="18" customHeight="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 ht="18" customHeight="1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 ht="18" customHeight="1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 ht="18" customHeight="1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 ht="18" customHeight="1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 ht="18" customHeight="1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 ht="18" customHeight="1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 ht="18" customHeight="1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</sheetData>
  <mergeCells count="1"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5"/>
  <sheetViews>
    <sheetView showGridLines="0" workbookViewId="0">
      <pane ySplit="2" topLeftCell="A3" activePane="bottomLeft" state="frozen"/>
      <selection pane="bottomLeft" activeCell="A5" sqref="A5"/>
    </sheetView>
  </sheetViews>
  <sheetFormatPr defaultRowHeight="14.6"/>
  <cols>
    <col min="1" max="2" width="22" customWidth="1"/>
    <col min="3" max="3" width="32" customWidth="1"/>
    <col min="4" max="4" width="16" customWidth="1"/>
  </cols>
  <sheetData>
    <row r="1" spans="1:4" ht="28" customHeight="1">
      <c r="A1" s="17" t="s">
        <v>122</v>
      </c>
      <c r="B1" s="12"/>
      <c r="C1" s="12"/>
      <c r="D1" s="12"/>
    </row>
    <row r="2" spans="1:4" ht="26.05" customHeight="1">
      <c r="A2" s="2" t="s">
        <v>123</v>
      </c>
      <c r="B2" s="2" t="s">
        <v>77</v>
      </c>
      <c r="C2" s="2" t="s">
        <v>124</v>
      </c>
      <c r="D2" s="2" t="s">
        <v>78</v>
      </c>
    </row>
    <row r="3" spans="1:4" ht="20.05" customHeight="1">
      <c r="A3" s="8" t="s">
        <v>125</v>
      </c>
      <c r="B3" s="8" t="s">
        <v>94</v>
      </c>
      <c r="C3" s="8" t="s">
        <v>126</v>
      </c>
      <c r="D3" s="8"/>
    </row>
    <row r="4" spans="1:4" ht="20.05" customHeight="1">
      <c r="A4" s="8" t="s">
        <v>127</v>
      </c>
      <c r="B4" s="8" t="s">
        <v>61</v>
      </c>
      <c r="C4" s="8" t="s">
        <v>128</v>
      </c>
      <c r="D4" s="8" t="s">
        <v>129</v>
      </c>
    </row>
    <row r="5" spans="1:4" ht="20.05" customHeight="1">
      <c r="A5" s="8" t="s">
        <v>130</v>
      </c>
      <c r="B5" s="8" t="s">
        <v>61</v>
      </c>
      <c r="C5" s="8" t="s">
        <v>131</v>
      </c>
      <c r="D5" s="8" t="s">
        <v>98</v>
      </c>
    </row>
    <row r="6" spans="1:4" ht="20.05" customHeight="1">
      <c r="A6" s="8" t="s">
        <v>132</v>
      </c>
      <c r="B6" s="8" t="s">
        <v>61</v>
      </c>
      <c r="C6" s="8" t="s">
        <v>133</v>
      </c>
      <c r="D6" s="8" t="s">
        <v>134</v>
      </c>
    </row>
    <row r="7" spans="1:4" ht="20.05" customHeight="1">
      <c r="A7" s="8" t="s">
        <v>135</v>
      </c>
      <c r="B7" s="8" t="s">
        <v>61</v>
      </c>
      <c r="C7" s="8" t="s">
        <v>136</v>
      </c>
      <c r="D7" s="8" t="s">
        <v>137</v>
      </c>
    </row>
    <row r="8" spans="1:4" ht="20.05" customHeight="1">
      <c r="A8" s="8" t="s">
        <v>138</v>
      </c>
      <c r="B8" s="8" t="s">
        <v>61</v>
      </c>
      <c r="C8" s="8" t="s">
        <v>139</v>
      </c>
      <c r="D8" s="8" t="s">
        <v>140</v>
      </c>
    </row>
    <row r="9" spans="1:4" ht="20.05" customHeight="1">
      <c r="A9" s="8" t="s">
        <v>141</v>
      </c>
      <c r="B9" s="8" t="s">
        <v>110</v>
      </c>
      <c r="C9" s="8" t="s">
        <v>142</v>
      </c>
      <c r="D9" s="8" t="s">
        <v>143</v>
      </c>
    </row>
    <row r="10" spans="1:4" ht="20.05" customHeight="1">
      <c r="A10" s="8" t="s">
        <v>144</v>
      </c>
      <c r="B10" s="8" t="s">
        <v>104</v>
      </c>
      <c r="C10" s="8" t="s">
        <v>145</v>
      </c>
      <c r="D10" s="8" t="s">
        <v>146</v>
      </c>
    </row>
    <row r="11" spans="1:4" ht="20.05" customHeight="1">
      <c r="A11" s="8" t="s">
        <v>147</v>
      </c>
      <c r="B11" s="8" t="s">
        <v>104</v>
      </c>
      <c r="C11" s="8" t="s">
        <v>148</v>
      </c>
      <c r="D11" s="8" t="s">
        <v>149</v>
      </c>
    </row>
    <row r="12" spans="1:4" ht="20.05" customHeight="1">
      <c r="A12" s="8" t="s">
        <v>150</v>
      </c>
      <c r="B12" s="8" t="s">
        <v>104</v>
      </c>
      <c r="C12" s="8" t="s">
        <v>151</v>
      </c>
      <c r="D12" s="8" t="s">
        <v>152</v>
      </c>
    </row>
    <row r="13" spans="1:4" ht="20.05" customHeight="1">
      <c r="A13" s="8" t="s">
        <v>153</v>
      </c>
      <c r="B13" s="8" t="s">
        <v>104</v>
      </c>
      <c r="C13" s="8" t="s">
        <v>154</v>
      </c>
      <c r="D13" s="8" t="s">
        <v>155</v>
      </c>
    </row>
    <row r="14" spans="1:4" ht="20.05" customHeight="1">
      <c r="A14" s="8" t="s">
        <v>156</v>
      </c>
      <c r="B14" s="8" t="s">
        <v>104</v>
      </c>
      <c r="C14" s="8" t="s">
        <v>157</v>
      </c>
      <c r="D14" s="8" t="s">
        <v>149</v>
      </c>
    </row>
    <row r="15" spans="1:4" ht="18" customHeight="1">
      <c r="A15" s="9"/>
      <c r="B15" s="9"/>
      <c r="C15" s="9"/>
      <c r="D15" s="9"/>
    </row>
    <row r="16" spans="1:4" ht="18" customHeight="1">
      <c r="A16" s="9"/>
      <c r="B16" s="9"/>
      <c r="C16" s="9"/>
      <c r="D16" s="9"/>
    </row>
    <row r="17" spans="1:4" ht="18" customHeight="1">
      <c r="A17" s="9"/>
      <c r="B17" s="9"/>
      <c r="C17" s="9"/>
      <c r="D17" s="9"/>
    </row>
    <row r="18" spans="1:4" ht="18" customHeight="1">
      <c r="A18" s="9"/>
      <c r="B18" s="9"/>
      <c r="C18" s="9"/>
      <c r="D18" s="9"/>
    </row>
    <row r="19" spans="1:4" ht="18" customHeight="1">
      <c r="A19" s="9"/>
      <c r="B19" s="9"/>
      <c r="C19" s="9"/>
      <c r="D19" s="9"/>
    </row>
    <row r="20" spans="1:4" ht="18" customHeight="1">
      <c r="A20" s="9"/>
      <c r="B20" s="9"/>
      <c r="C20" s="9"/>
      <c r="D20" s="9"/>
    </row>
    <row r="21" spans="1:4" ht="18" customHeight="1">
      <c r="A21" s="9"/>
      <c r="B21" s="9"/>
      <c r="C21" s="9"/>
      <c r="D21" s="9"/>
    </row>
    <row r="22" spans="1:4" ht="18" customHeight="1">
      <c r="A22" s="9"/>
      <c r="B22" s="9"/>
      <c r="C22" s="9"/>
      <c r="D22" s="9"/>
    </row>
    <row r="23" spans="1:4" ht="18" customHeight="1">
      <c r="A23" s="9"/>
      <c r="B23" s="9"/>
      <c r="C23" s="9"/>
      <c r="D23" s="9"/>
    </row>
    <row r="24" spans="1:4" ht="18" customHeight="1">
      <c r="A24" s="9"/>
      <c r="B24" s="9"/>
      <c r="C24" s="9"/>
      <c r="D24" s="9"/>
    </row>
    <row r="25" spans="1:4" ht="18" customHeight="1">
      <c r="A25" s="9"/>
      <c r="B25" s="9"/>
      <c r="C25" s="9"/>
      <c r="D25" s="9"/>
    </row>
    <row r="26" spans="1:4" ht="18" customHeight="1">
      <c r="A26" s="9"/>
      <c r="B26" s="9"/>
      <c r="C26" s="9"/>
      <c r="D26" s="9"/>
    </row>
    <row r="27" spans="1:4" ht="18" customHeight="1">
      <c r="A27" s="9"/>
      <c r="B27" s="9"/>
      <c r="C27" s="9"/>
      <c r="D27" s="9"/>
    </row>
    <row r="28" spans="1:4" ht="18" customHeight="1">
      <c r="A28" s="9"/>
      <c r="B28" s="9"/>
      <c r="C28" s="9"/>
      <c r="D28" s="9"/>
    </row>
    <row r="29" spans="1:4" ht="18" customHeight="1">
      <c r="A29" s="9"/>
      <c r="B29" s="9"/>
      <c r="C29" s="9"/>
      <c r="D29" s="9"/>
    </row>
    <row r="30" spans="1:4" ht="18" customHeight="1">
      <c r="A30" s="9"/>
      <c r="B30" s="9"/>
      <c r="C30" s="9"/>
      <c r="D30" s="9"/>
    </row>
    <row r="31" spans="1:4" ht="18" customHeight="1">
      <c r="A31" s="9"/>
      <c r="B31" s="9"/>
      <c r="C31" s="9"/>
      <c r="D31" s="9"/>
    </row>
    <row r="32" spans="1:4" ht="18" customHeight="1">
      <c r="A32" s="9"/>
      <c r="B32" s="9"/>
      <c r="C32" s="9"/>
      <c r="D32" s="9"/>
    </row>
    <row r="33" spans="1:4" ht="18" customHeight="1">
      <c r="A33" s="9"/>
      <c r="B33" s="9"/>
      <c r="C33" s="9"/>
      <c r="D33" s="9"/>
    </row>
    <row r="34" spans="1:4" ht="18" customHeight="1">
      <c r="A34" s="9"/>
      <c r="B34" s="9"/>
      <c r="C34" s="9"/>
      <c r="D34" s="9"/>
    </row>
    <row r="35" spans="1:4" ht="18" customHeight="1">
      <c r="A35" s="9"/>
      <c r="B35" s="9"/>
      <c r="C35" s="9"/>
      <c r="D35" s="9"/>
    </row>
    <row r="36" spans="1:4" ht="18" customHeight="1">
      <c r="A36" s="9"/>
      <c r="B36" s="9"/>
      <c r="C36" s="9"/>
      <c r="D36" s="9"/>
    </row>
    <row r="37" spans="1:4" ht="18" customHeight="1">
      <c r="A37" s="9"/>
      <c r="B37" s="9"/>
      <c r="C37" s="9"/>
      <c r="D37" s="9"/>
    </row>
    <row r="38" spans="1:4" ht="18" customHeight="1">
      <c r="A38" s="9"/>
      <c r="B38" s="9"/>
      <c r="C38" s="9"/>
      <c r="D38" s="9"/>
    </row>
    <row r="39" spans="1:4" ht="18" customHeight="1">
      <c r="A39" s="9"/>
      <c r="B39" s="9"/>
      <c r="C39" s="9"/>
      <c r="D39" s="9"/>
    </row>
    <row r="40" spans="1:4" ht="18" customHeight="1">
      <c r="A40" s="9"/>
      <c r="B40" s="9"/>
      <c r="C40" s="9"/>
      <c r="D40" s="9"/>
    </row>
    <row r="41" spans="1:4" ht="18" customHeight="1">
      <c r="A41" s="9"/>
      <c r="B41" s="9"/>
      <c r="C41" s="9"/>
      <c r="D41" s="9"/>
    </row>
    <row r="42" spans="1:4" ht="18" customHeight="1">
      <c r="A42" s="9"/>
      <c r="B42" s="9"/>
      <c r="C42" s="9"/>
      <c r="D42" s="9"/>
    </row>
    <row r="43" spans="1:4" ht="18" customHeight="1">
      <c r="A43" s="9"/>
      <c r="B43" s="9"/>
      <c r="C43" s="9"/>
      <c r="D43" s="9"/>
    </row>
    <row r="44" spans="1:4" ht="18" customHeight="1">
      <c r="A44" s="9"/>
      <c r="B44" s="9"/>
      <c r="C44" s="9"/>
      <c r="D44" s="9"/>
    </row>
    <row r="45" spans="1:4" ht="18" customHeight="1">
      <c r="A45" s="9"/>
      <c r="B45" s="9"/>
      <c r="C45" s="9"/>
      <c r="D45" s="9"/>
    </row>
    <row r="46" spans="1:4" ht="18" customHeight="1">
      <c r="A46" s="9"/>
      <c r="B46" s="9"/>
      <c r="C46" s="9"/>
      <c r="D46" s="9"/>
    </row>
    <row r="47" spans="1:4" ht="18" customHeight="1">
      <c r="A47" s="9"/>
      <c r="B47" s="9"/>
      <c r="C47" s="9"/>
      <c r="D47" s="9"/>
    </row>
    <row r="48" spans="1:4" ht="18" customHeight="1">
      <c r="A48" s="9"/>
      <c r="B48" s="9"/>
      <c r="C48" s="9"/>
      <c r="D48" s="9"/>
    </row>
    <row r="49" spans="1:4" ht="18" customHeight="1">
      <c r="A49" s="9"/>
      <c r="B49" s="9"/>
      <c r="C49" s="9"/>
      <c r="D49" s="9"/>
    </row>
    <row r="50" spans="1:4" ht="18" customHeight="1">
      <c r="A50" s="9"/>
      <c r="B50" s="9"/>
      <c r="C50" s="9"/>
      <c r="D50" s="9"/>
    </row>
    <row r="51" spans="1:4" ht="18" customHeight="1">
      <c r="A51" s="9"/>
      <c r="B51" s="9"/>
      <c r="C51" s="9"/>
      <c r="D51" s="9"/>
    </row>
    <row r="52" spans="1:4" ht="18" customHeight="1">
      <c r="A52" s="9"/>
      <c r="B52" s="9"/>
      <c r="C52" s="9"/>
      <c r="D52" s="9"/>
    </row>
    <row r="53" spans="1:4" ht="18" customHeight="1">
      <c r="A53" s="9"/>
      <c r="B53" s="9"/>
      <c r="C53" s="9"/>
      <c r="D53" s="9"/>
    </row>
    <row r="54" spans="1:4" ht="18" customHeight="1">
      <c r="A54" s="9"/>
      <c r="B54" s="9"/>
      <c r="C54" s="9"/>
      <c r="D54" s="9"/>
    </row>
    <row r="55" spans="1:4" ht="18" customHeight="1">
      <c r="A55" s="9"/>
      <c r="B55" s="9"/>
      <c r="C55" s="9"/>
      <c r="D55" s="9"/>
    </row>
    <row r="56" spans="1:4" ht="18" customHeight="1">
      <c r="A56" s="9"/>
      <c r="B56" s="9"/>
      <c r="C56" s="9"/>
      <c r="D56" s="9"/>
    </row>
    <row r="57" spans="1:4" ht="18" customHeight="1">
      <c r="A57" s="9"/>
      <c r="B57" s="9"/>
      <c r="C57" s="9"/>
      <c r="D57" s="9"/>
    </row>
    <row r="58" spans="1:4" ht="18" customHeight="1">
      <c r="A58" s="9"/>
      <c r="B58" s="9"/>
      <c r="C58" s="9"/>
      <c r="D58" s="9"/>
    </row>
    <row r="59" spans="1:4" ht="18" customHeight="1">
      <c r="A59" s="9"/>
      <c r="B59" s="9"/>
      <c r="C59" s="9"/>
      <c r="D59" s="9"/>
    </row>
    <row r="60" spans="1:4" ht="18" customHeight="1">
      <c r="A60" s="9"/>
      <c r="B60" s="9"/>
      <c r="C60" s="9"/>
      <c r="D60" s="9"/>
    </row>
    <row r="61" spans="1:4" ht="18" customHeight="1">
      <c r="A61" s="9"/>
      <c r="B61" s="9"/>
      <c r="C61" s="9"/>
      <c r="D61" s="9"/>
    </row>
    <row r="62" spans="1:4" ht="18" customHeight="1">
      <c r="A62" s="9"/>
      <c r="B62" s="9"/>
      <c r="C62" s="9"/>
      <c r="D62" s="9"/>
    </row>
    <row r="63" spans="1:4" ht="18" customHeight="1">
      <c r="A63" s="9"/>
      <c r="B63" s="9"/>
      <c r="C63" s="9"/>
      <c r="D63" s="9"/>
    </row>
    <row r="64" spans="1:4" ht="18" customHeight="1">
      <c r="A64" s="9"/>
      <c r="B64" s="9"/>
      <c r="C64" s="9"/>
      <c r="D64" s="9"/>
    </row>
    <row r="65" spans="1:4" ht="18" customHeight="1">
      <c r="A65" s="9"/>
      <c r="B65" s="9"/>
      <c r="C65" s="9"/>
      <c r="D65" s="9"/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69"/>
  <sheetViews>
    <sheetView showGridLines="0" workbookViewId="0">
      <pane ySplit="2" topLeftCell="A3" activePane="bottomLeft" state="frozen"/>
      <selection pane="bottomLeft"/>
    </sheetView>
  </sheetViews>
  <sheetFormatPr defaultRowHeight="14.6"/>
  <cols>
    <col min="1" max="1" width="22" customWidth="1"/>
    <col min="2" max="2" width="28" customWidth="1"/>
    <col min="3" max="3" width="18" customWidth="1"/>
    <col min="4" max="4" width="22" customWidth="1"/>
    <col min="5" max="5" width="14" customWidth="1"/>
    <col min="6" max="6" width="12" customWidth="1"/>
    <col min="7" max="7" width="28" customWidth="1"/>
    <col min="8" max="8" width="24" customWidth="1"/>
    <col min="9" max="9" width="22" customWidth="1"/>
    <col min="10" max="10" width="28" customWidth="1"/>
    <col min="11" max="12" width="12" customWidth="1"/>
  </cols>
  <sheetData>
    <row r="1" spans="1:12" ht="28" customHeight="1">
      <c r="A1" s="17" t="s">
        <v>158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</row>
    <row r="2" spans="1:12" ht="26.05" customHeight="1">
      <c r="A2" s="2" t="s">
        <v>159</v>
      </c>
      <c r="B2" s="2" t="s">
        <v>124</v>
      </c>
      <c r="C2" s="2" t="s">
        <v>160</v>
      </c>
      <c r="D2" s="2" t="s">
        <v>8</v>
      </c>
      <c r="E2" s="2" t="s">
        <v>161</v>
      </c>
      <c r="F2" s="2" t="s">
        <v>162</v>
      </c>
      <c r="G2" s="2" t="s">
        <v>163</v>
      </c>
      <c r="H2" s="2" t="s">
        <v>164</v>
      </c>
      <c r="I2" s="2" t="s">
        <v>165</v>
      </c>
      <c r="J2" s="2" t="s">
        <v>166</v>
      </c>
      <c r="K2" s="2" t="s">
        <v>167</v>
      </c>
      <c r="L2" s="2" t="s">
        <v>168</v>
      </c>
    </row>
    <row r="3" spans="1:12" ht="20.05" customHeight="1">
      <c r="A3" s="8" t="s">
        <v>169</v>
      </c>
      <c r="B3" s="8" t="s">
        <v>170</v>
      </c>
      <c r="C3" s="8" t="s">
        <v>115</v>
      </c>
      <c r="D3" s="8" t="s">
        <v>171</v>
      </c>
      <c r="E3" s="8" t="s">
        <v>172</v>
      </c>
      <c r="F3" s="8" t="s">
        <v>173</v>
      </c>
      <c r="G3" s="8" t="s">
        <v>174</v>
      </c>
      <c r="H3" s="8" t="s">
        <v>175</v>
      </c>
      <c r="I3" s="8"/>
      <c r="J3" s="8" t="s">
        <v>176</v>
      </c>
      <c r="K3" s="8">
        <v>20</v>
      </c>
      <c r="L3" s="8">
        <v>0.4</v>
      </c>
    </row>
    <row r="4" spans="1:12" ht="20.05" customHeight="1">
      <c r="A4" s="8" t="s">
        <v>177</v>
      </c>
      <c r="B4" s="8" t="s">
        <v>178</v>
      </c>
      <c r="C4" s="8" t="s">
        <v>179</v>
      </c>
      <c r="D4" s="8" t="s">
        <v>180</v>
      </c>
      <c r="E4" s="8" t="s">
        <v>181</v>
      </c>
      <c r="F4" s="8" t="s">
        <v>182</v>
      </c>
      <c r="G4" s="8" t="s">
        <v>183</v>
      </c>
      <c r="H4" s="8" t="s">
        <v>184</v>
      </c>
      <c r="I4" s="8" t="s">
        <v>185</v>
      </c>
      <c r="J4" s="8" t="s">
        <v>186</v>
      </c>
      <c r="K4" s="8">
        <v>25</v>
      </c>
      <c r="L4" s="8">
        <v>0.4</v>
      </c>
    </row>
    <row r="5" spans="1:12" ht="20.05" customHeight="1">
      <c r="A5" s="8" t="s">
        <v>187</v>
      </c>
      <c r="B5" s="8" t="s">
        <v>188</v>
      </c>
      <c r="C5" s="8" t="s">
        <v>189</v>
      </c>
      <c r="D5" s="8" t="s">
        <v>102</v>
      </c>
      <c r="E5" s="8" t="s">
        <v>190</v>
      </c>
      <c r="F5" s="8" t="s">
        <v>182</v>
      </c>
      <c r="G5" s="8" t="s">
        <v>191</v>
      </c>
      <c r="H5" s="8" t="s">
        <v>192</v>
      </c>
      <c r="I5" s="8" t="s">
        <v>185</v>
      </c>
      <c r="J5" s="8" t="s">
        <v>193</v>
      </c>
      <c r="K5" s="8">
        <v>25</v>
      </c>
      <c r="L5" s="8">
        <v>0.4</v>
      </c>
    </row>
    <row r="6" spans="1:12" ht="20.05" customHeight="1">
      <c r="A6" s="8" t="s">
        <v>68</v>
      </c>
      <c r="B6" s="8" t="s">
        <v>194</v>
      </c>
      <c r="C6" s="8" t="s">
        <v>195</v>
      </c>
      <c r="D6" s="8" t="s">
        <v>196</v>
      </c>
      <c r="E6" s="8" t="s">
        <v>197</v>
      </c>
      <c r="F6" s="8" t="s">
        <v>198</v>
      </c>
      <c r="G6" s="8" t="s">
        <v>199</v>
      </c>
      <c r="H6" s="8"/>
      <c r="I6" s="8" t="s">
        <v>200</v>
      </c>
      <c r="J6" s="8" t="s">
        <v>201</v>
      </c>
      <c r="K6" s="8">
        <v>25</v>
      </c>
      <c r="L6" s="8">
        <v>0.4</v>
      </c>
    </row>
    <row r="7" spans="1:12" ht="20.05" customHeight="1">
      <c r="A7" s="8" t="s">
        <v>202</v>
      </c>
      <c r="B7" s="8" t="s">
        <v>203</v>
      </c>
      <c r="C7" s="8" t="s">
        <v>204</v>
      </c>
      <c r="D7" s="8" t="s">
        <v>205</v>
      </c>
      <c r="E7" s="8" t="s">
        <v>206</v>
      </c>
      <c r="F7" s="8" t="s">
        <v>182</v>
      </c>
      <c r="G7" s="8" t="s">
        <v>207</v>
      </c>
      <c r="H7" s="8" t="s">
        <v>208</v>
      </c>
      <c r="I7" s="8" t="s">
        <v>209</v>
      </c>
      <c r="J7" s="8" t="s">
        <v>210</v>
      </c>
      <c r="K7" s="8">
        <v>25</v>
      </c>
      <c r="L7" s="8">
        <v>0.4</v>
      </c>
    </row>
    <row r="8" spans="1:12" ht="20.05" customHeight="1">
      <c r="A8" s="8" t="s">
        <v>211</v>
      </c>
      <c r="B8" s="8" t="s">
        <v>212</v>
      </c>
      <c r="C8" s="8" t="s">
        <v>213</v>
      </c>
      <c r="D8" s="8" t="s">
        <v>214</v>
      </c>
      <c r="E8" s="8" t="s">
        <v>215</v>
      </c>
      <c r="F8" s="8" t="s">
        <v>182</v>
      </c>
      <c r="G8" s="8" t="s">
        <v>216</v>
      </c>
      <c r="H8" s="8" t="s">
        <v>217</v>
      </c>
      <c r="I8" s="8" t="s">
        <v>218</v>
      </c>
      <c r="J8" s="8" t="s">
        <v>219</v>
      </c>
      <c r="K8" s="8">
        <v>25</v>
      </c>
      <c r="L8" s="8">
        <v>0.4</v>
      </c>
    </row>
    <row r="9" spans="1:12" ht="20.05" customHeight="1">
      <c r="A9" s="8" t="s">
        <v>220</v>
      </c>
      <c r="B9" s="8" t="s">
        <v>221</v>
      </c>
      <c r="C9" s="8" t="s">
        <v>222</v>
      </c>
      <c r="D9" s="8" t="s">
        <v>223</v>
      </c>
      <c r="E9" s="8" t="s">
        <v>224</v>
      </c>
      <c r="F9" s="8" t="s">
        <v>182</v>
      </c>
      <c r="G9" s="8" t="s">
        <v>225</v>
      </c>
      <c r="H9" s="8" t="s">
        <v>217</v>
      </c>
      <c r="I9" s="8" t="s">
        <v>218</v>
      </c>
      <c r="J9" s="8" t="s">
        <v>226</v>
      </c>
      <c r="K9" s="8">
        <v>25</v>
      </c>
      <c r="L9" s="8">
        <v>0.4</v>
      </c>
    </row>
    <row r="10" spans="1:12" ht="20.05" customHeight="1">
      <c r="A10" s="8" t="s">
        <v>227</v>
      </c>
      <c r="B10" s="8" t="s">
        <v>228</v>
      </c>
      <c r="C10" s="8" t="s">
        <v>229</v>
      </c>
      <c r="D10" s="8" t="s">
        <v>230</v>
      </c>
      <c r="E10" s="8" t="s">
        <v>231</v>
      </c>
      <c r="F10" s="8" t="s">
        <v>182</v>
      </c>
      <c r="G10" s="8" t="s">
        <v>232</v>
      </c>
      <c r="H10" s="8" t="s">
        <v>233</v>
      </c>
      <c r="I10" s="8" t="s">
        <v>185</v>
      </c>
      <c r="J10" s="8" t="s">
        <v>234</v>
      </c>
      <c r="K10" s="8">
        <v>25</v>
      </c>
      <c r="L10" s="8">
        <v>0.4</v>
      </c>
    </row>
    <row r="11" spans="1:12" ht="20.05" customHeight="1">
      <c r="A11" s="8" t="s">
        <v>235</v>
      </c>
      <c r="B11" s="8" t="s">
        <v>236</v>
      </c>
      <c r="C11" s="8" t="s">
        <v>237</v>
      </c>
      <c r="D11" s="8" t="s">
        <v>238</v>
      </c>
      <c r="E11" s="8" t="s">
        <v>239</v>
      </c>
      <c r="F11" s="8" t="s">
        <v>182</v>
      </c>
      <c r="G11" s="8" t="s">
        <v>240</v>
      </c>
      <c r="H11" s="8"/>
      <c r="I11" s="8" t="s">
        <v>185</v>
      </c>
      <c r="J11" s="8" t="s">
        <v>241</v>
      </c>
      <c r="K11" s="8">
        <v>25</v>
      </c>
      <c r="L11" s="8">
        <v>0.4</v>
      </c>
    </row>
    <row r="12" spans="1:12" ht="20.05" customHeight="1">
      <c r="A12" s="8" t="s">
        <v>242</v>
      </c>
      <c r="B12" s="8" t="s">
        <v>243</v>
      </c>
      <c r="C12" s="8" t="s">
        <v>244</v>
      </c>
      <c r="D12" s="8" t="s">
        <v>245</v>
      </c>
      <c r="E12" s="8" t="s">
        <v>246</v>
      </c>
      <c r="F12" s="8" t="s">
        <v>182</v>
      </c>
      <c r="G12" s="8" t="s">
        <v>247</v>
      </c>
      <c r="H12" s="8" t="s">
        <v>233</v>
      </c>
      <c r="I12" s="8" t="s">
        <v>185</v>
      </c>
      <c r="J12" s="8" t="s">
        <v>248</v>
      </c>
      <c r="K12" s="8">
        <v>25</v>
      </c>
      <c r="L12" s="8">
        <v>0.4</v>
      </c>
    </row>
    <row r="13" spans="1:12" ht="20.05" customHeight="1">
      <c r="A13" s="8" t="s">
        <v>249</v>
      </c>
      <c r="B13" s="8" t="s">
        <v>250</v>
      </c>
      <c r="C13" s="8" t="s">
        <v>251</v>
      </c>
      <c r="D13" s="8" t="s">
        <v>252</v>
      </c>
      <c r="E13" s="8" t="s">
        <v>253</v>
      </c>
      <c r="F13" s="8" t="s">
        <v>182</v>
      </c>
      <c r="G13" s="8" t="s">
        <v>254</v>
      </c>
      <c r="H13" s="8" t="s">
        <v>255</v>
      </c>
      <c r="I13" s="8" t="s">
        <v>185</v>
      </c>
      <c r="J13" s="8" t="s">
        <v>210</v>
      </c>
      <c r="K13" s="8">
        <v>20</v>
      </c>
      <c r="L13" s="8">
        <v>0.4</v>
      </c>
    </row>
    <row r="14" spans="1:12" ht="20.05" customHeight="1">
      <c r="A14" s="8" t="s">
        <v>256</v>
      </c>
      <c r="B14" s="8" t="s">
        <v>257</v>
      </c>
      <c r="C14" s="8" t="s">
        <v>102</v>
      </c>
      <c r="D14" s="8" t="s">
        <v>102</v>
      </c>
      <c r="E14" s="8" t="s">
        <v>258</v>
      </c>
      <c r="F14" s="8" t="s">
        <v>182</v>
      </c>
      <c r="G14" s="8" t="s">
        <v>259</v>
      </c>
      <c r="H14" s="8"/>
      <c r="I14" s="8" t="s">
        <v>185</v>
      </c>
      <c r="J14" s="8" t="s">
        <v>260</v>
      </c>
      <c r="K14" s="8">
        <v>25</v>
      </c>
      <c r="L14" s="8">
        <v>0.4</v>
      </c>
    </row>
    <row r="15" spans="1:12" ht="20.05" customHeight="1">
      <c r="A15" s="8" t="s">
        <v>261</v>
      </c>
      <c r="B15" s="8" t="s">
        <v>262</v>
      </c>
      <c r="C15" s="8" t="s">
        <v>263</v>
      </c>
      <c r="D15" s="8" t="s">
        <v>102</v>
      </c>
      <c r="E15" s="8" t="s">
        <v>264</v>
      </c>
      <c r="F15" s="8" t="s">
        <v>182</v>
      </c>
      <c r="G15" s="8" t="s">
        <v>265</v>
      </c>
      <c r="H15" s="8"/>
      <c r="I15" s="8" t="s">
        <v>185</v>
      </c>
      <c r="J15" s="8" t="s">
        <v>193</v>
      </c>
      <c r="K15" s="8">
        <v>25</v>
      </c>
      <c r="L15" s="8">
        <v>0.4</v>
      </c>
    </row>
    <row r="16" spans="1:12" ht="20.05" customHeight="1">
      <c r="A16" s="8" t="s">
        <v>266</v>
      </c>
      <c r="B16" s="8" t="s">
        <v>267</v>
      </c>
      <c r="C16" s="8" t="s">
        <v>268</v>
      </c>
      <c r="D16" s="8" t="s">
        <v>269</v>
      </c>
      <c r="E16" s="8" t="s">
        <v>270</v>
      </c>
      <c r="F16" s="8" t="s">
        <v>182</v>
      </c>
      <c r="G16" s="8" t="s">
        <v>271</v>
      </c>
      <c r="H16" s="8"/>
      <c r="I16" s="8" t="s">
        <v>185</v>
      </c>
      <c r="J16" s="8" t="s">
        <v>272</v>
      </c>
      <c r="K16" s="8">
        <v>25</v>
      </c>
      <c r="L16" s="8"/>
    </row>
    <row r="17" spans="1:12" ht="20.05" customHeight="1">
      <c r="A17" s="8" t="s">
        <v>273</v>
      </c>
      <c r="B17" s="8" t="s">
        <v>274</v>
      </c>
      <c r="C17" s="8" t="s">
        <v>275</v>
      </c>
      <c r="D17" s="8" t="s">
        <v>276</v>
      </c>
      <c r="E17" s="8" t="s">
        <v>277</v>
      </c>
      <c r="F17" s="8" t="s">
        <v>173</v>
      </c>
      <c r="G17" s="8" t="s">
        <v>278</v>
      </c>
      <c r="H17" s="8"/>
      <c r="I17" s="8" t="s">
        <v>185</v>
      </c>
      <c r="J17" s="8" t="s">
        <v>279</v>
      </c>
      <c r="K17" s="8">
        <v>25</v>
      </c>
      <c r="L17" s="8"/>
    </row>
    <row r="18" spans="1:12" ht="20.05" customHeight="1">
      <c r="A18" s="8" t="s">
        <v>280</v>
      </c>
      <c r="B18" s="8" t="s">
        <v>281</v>
      </c>
      <c r="C18" s="8" t="s">
        <v>115</v>
      </c>
      <c r="D18" s="8" t="s">
        <v>115</v>
      </c>
      <c r="E18" s="8" t="s">
        <v>282</v>
      </c>
      <c r="F18" s="8" t="s">
        <v>173</v>
      </c>
      <c r="G18" s="8" t="s">
        <v>283</v>
      </c>
      <c r="H18" s="8"/>
      <c r="I18" s="8" t="s">
        <v>185</v>
      </c>
      <c r="J18" s="8" t="s">
        <v>173</v>
      </c>
      <c r="K18" s="8">
        <v>25</v>
      </c>
      <c r="L18" s="8"/>
    </row>
    <row r="19" spans="1:12" ht="18" customHeight="1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</row>
    <row r="20" spans="1:12" ht="18" customHeight="1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</row>
    <row r="21" spans="1:12" ht="18" customHeight="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</row>
    <row r="22" spans="1:12" ht="18" customHeight="1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</row>
    <row r="23" spans="1:12" ht="18" customHeight="1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</row>
    <row r="24" spans="1:12" ht="18" customHeight="1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</row>
    <row r="25" spans="1:12" ht="18" customHeight="1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</row>
    <row r="26" spans="1:12" ht="18" customHeight="1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</row>
    <row r="27" spans="1:12" ht="18" customHeight="1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</row>
    <row r="28" spans="1:12" ht="18" customHeight="1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</row>
    <row r="29" spans="1:12" ht="18" customHeight="1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</row>
    <row r="30" spans="1:12" ht="18" customHeight="1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</row>
    <row r="31" spans="1:12" ht="18" customHeight="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</row>
    <row r="32" spans="1:12" ht="18" customHeight="1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</row>
    <row r="33" spans="1:12" ht="18" customHeight="1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</row>
    <row r="34" spans="1:12" ht="18" customHeight="1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</row>
    <row r="35" spans="1:12" ht="18" customHeight="1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</row>
    <row r="36" spans="1:12" ht="18" customHeight="1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</row>
    <row r="37" spans="1:12" ht="18" customHeight="1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</row>
    <row r="38" spans="1:12" ht="18" customHeight="1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</row>
    <row r="39" spans="1:12" ht="18" customHeight="1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</row>
    <row r="40" spans="1:12" ht="18" customHeight="1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</row>
    <row r="41" spans="1:12" ht="18" customHeight="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</row>
    <row r="42" spans="1:12" ht="18" customHeight="1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</row>
    <row r="43" spans="1:12" ht="18" customHeight="1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</row>
    <row r="44" spans="1:12" ht="18" customHeight="1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</row>
    <row r="45" spans="1:12" ht="18" customHeight="1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</row>
    <row r="46" spans="1:12" ht="18" customHeight="1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</row>
    <row r="47" spans="1:12" ht="18" customHeight="1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</row>
    <row r="48" spans="1:12" ht="18" customHeight="1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</row>
    <row r="49" spans="1:12" ht="18" customHeight="1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</row>
    <row r="50" spans="1:12" ht="18" customHeight="1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</row>
    <row r="51" spans="1:12" ht="18" customHeight="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</row>
    <row r="52" spans="1:12" ht="18" customHeight="1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</row>
    <row r="53" spans="1:12" ht="18" customHeight="1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</row>
    <row r="54" spans="1:12" ht="18" customHeight="1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</row>
    <row r="55" spans="1:12" ht="18" customHeight="1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</row>
    <row r="56" spans="1:12" ht="18" customHeight="1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</row>
    <row r="57" spans="1:12" ht="18" customHeight="1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</row>
    <row r="58" spans="1:12" ht="18" customHeight="1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</row>
    <row r="59" spans="1:12" ht="18" customHeight="1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</row>
    <row r="60" spans="1:12" ht="18" customHeight="1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</row>
    <row r="61" spans="1:12" ht="18" customHeight="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</row>
    <row r="62" spans="1:12" ht="18" customHeight="1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</row>
    <row r="63" spans="1:12" ht="18" customHeight="1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</row>
    <row r="64" spans="1:12" ht="18" customHeight="1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</row>
    <row r="65" spans="1:12" ht="18" customHeight="1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 ht="18" customHeight="1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</row>
    <row r="67" spans="1:12" ht="18" customHeight="1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</row>
    <row r="68" spans="1:12" ht="18" customHeight="1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</row>
    <row r="69" spans="1:12" ht="18" customHeight="1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</row>
  </sheetData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1"/>
  <sheetViews>
    <sheetView workbookViewId="0"/>
  </sheetViews>
  <sheetFormatPr defaultRowHeight="14.6"/>
  <cols>
    <col min="1" max="1" width="26" customWidth="1"/>
    <col min="2" max="2" width="32" customWidth="1"/>
    <col min="3" max="3" width="26" customWidth="1"/>
    <col min="4" max="4" width="22" customWidth="1"/>
    <col min="5" max="5" width="29" customWidth="1"/>
    <col min="6" max="6" width="7" customWidth="1"/>
    <col min="7" max="7" width="24" customWidth="1"/>
    <col min="8" max="8" width="19" customWidth="1"/>
    <col min="9" max="9" width="16" customWidth="1"/>
  </cols>
  <sheetData>
    <row r="1" spans="1:9">
      <c r="A1" s="10" t="s">
        <v>284</v>
      </c>
      <c r="B1" s="10" t="s">
        <v>285</v>
      </c>
      <c r="C1" s="10" t="s">
        <v>286</v>
      </c>
      <c r="D1" s="10" t="s">
        <v>287</v>
      </c>
      <c r="E1" s="10" t="s">
        <v>288</v>
      </c>
      <c r="F1" s="10" t="s">
        <v>289</v>
      </c>
      <c r="G1" s="10" t="s">
        <v>290</v>
      </c>
      <c r="H1" s="10" t="s">
        <v>291</v>
      </c>
      <c r="I1" s="10" t="s">
        <v>292</v>
      </c>
    </row>
    <row r="2" spans="1:9">
      <c r="A2" t="s">
        <v>61</v>
      </c>
      <c r="B2" t="s">
        <v>293</v>
      </c>
      <c r="C2" t="s">
        <v>169</v>
      </c>
      <c r="D2" t="s">
        <v>60</v>
      </c>
      <c r="E2" t="s">
        <v>65</v>
      </c>
      <c r="F2" t="s">
        <v>72</v>
      </c>
      <c r="G2" t="s">
        <v>70</v>
      </c>
      <c r="H2" t="s">
        <v>72</v>
      </c>
      <c r="I2" t="s">
        <v>72</v>
      </c>
    </row>
    <row r="3" spans="1:9">
      <c r="A3" t="s">
        <v>104</v>
      </c>
      <c r="B3" t="s">
        <v>294</v>
      </c>
      <c r="C3" t="s">
        <v>177</v>
      </c>
      <c r="D3" t="s">
        <v>295</v>
      </c>
      <c r="E3" t="s">
        <v>296</v>
      </c>
      <c r="F3" t="s">
        <v>66</v>
      </c>
      <c r="G3" t="s">
        <v>124</v>
      </c>
      <c r="H3" t="s">
        <v>66</v>
      </c>
      <c r="I3" t="s">
        <v>297</v>
      </c>
    </row>
    <row r="4" spans="1:9">
      <c r="A4" t="s">
        <v>110</v>
      </c>
      <c r="B4" t="s">
        <v>298</v>
      </c>
      <c r="C4" t="s">
        <v>187</v>
      </c>
      <c r="D4" t="s">
        <v>299</v>
      </c>
      <c r="E4" t="s">
        <v>300</v>
      </c>
      <c r="G4" t="s">
        <v>301</v>
      </c>
      <c r="H4" t="s">
        <v>302</v>
      </c>
    </row>
    <row r="5" spans="1:9">
      <c r="A5" t="s">
        <v>117</v>
      </c>
      <c r="B5" t="s">
        <v>62</v>
      </c>
      <c r="C5" t="s">
        <v>68</v>
      </c>
      <c r="D5" t="s">
        <v>303</v>
      </c>
      <c r="E5" t="s">
        <v>304</v>
      </c>
    </row>
    <row r="6" spans="1:9">
      <c r="A6" t="s">
        <v>305</v>
      </c>
      <c r="B6" t="s">
        <v>306</v>
      </c>
      <c r="C6" t="s">
        <v>202</v>
      </c>
      <c r="E6" t="s">
        <v>307</v>
      </c>
    </row>
    <row r="7" spans="1:9">
      <c r="B7" t="s">
        <v>308</v>
      </c>
      <c r="C7" t="s">
        <v>211</v>
      </c>
      <c r="E7" t="s">
        <v>309</v>
      </c>
    </row>
    <row r="8" spans="1:9">
      <c r="B8" t="s">
        <v>310</v>
      </c>
      <c r="C8" t="s">
        <v>220</v>
      </c>
      <c r="E8" t="s">
        <v>311</v>
      </c>
    </row>
    <row r="9" spans="1:9">
      <c r="B9" t="s">
        <v>312</v>
      </c>
      <c r="C9" t="s">
        <v>227</v>
      </c>
      <c r="E9" t="s">
        <v>313</v>
      </c>
    </row>
    <row r="10" spans="1:9">
      <c r="B10" t="s">
        <v>314</v>
      </c>
      <c r="C10" t="s">
        <v>235</v>
      </c>
      <c r="E10" t="s">
        <v>315</v>
      </c>
    </row>
    <row r="11" spans="1:9">
      <c r="B11" t="s">
        <v>316</v>
      </c>
      <c r="C11" t="s">
        <v>242</v>
      </c>
      <c r="E11" t="s">
        <v>317</v>
      </c>
    </row>
    <row r="12" spans="1:9">
      <c r="B12" t="s">
        <v>318</v>
      </c>
      <c r="C12" t="s">
        <v>249</v>
      </c>
      <c r="E12" t="s">
        <v>319</v>
      </c>
    </row>
    <row r="13" spans="1:9">
      <c r="B13" t="s">
        <v>305</v>
      </c>
      <c r="C13" t="s">
        <v>256</v>
      </c>
      <c r="E13" t="s">
        <v>320</v>
      </c>
    </row>
    <row r="14" spans="1:9">
      <c r="C14" t="s">
        <v>261</v>
      </c>
      <c r="E14" t="s">
        <v>321</v>
      </c>
    </row>
    <row r="15" spans="1:9">
      <c r="C15" t="s">
        <v>266</v>
      </c>
      <c r="E15" t="s">
        <v>322</v>
      </c>
    </row>
    <row r="16" spans="1:9">
      <c r="C16" t="s">
        <v>273</v>
      </c>
      <c r="E16" t="s">
        <v>323</v>
      </c>
    </row>
    <row r="17" spans="3:5">
      <c r="C17" t="s">
        <v>280</v>
      </c>
      <c r="E17" t="s">
        <v>324</v>
      </c>
    </row>
    <row r="18" spans="3:5">
      <c r="C18" t="s">
        <v>305</v>
      </c>
      <c r="E18" t="s">
        <v>325</v>
      </c>
    </row>
    <row r="19" spans="3:5">
      <c r="E19" t="s">
        <v>326</v>
      </c>
    </row>
    <row r="20" spans="3:5">
      <c r="E20" t="s">
        <v>327</v>
      </c>
    </row>
    <row r="21" spans="3:5">
      <c r="E21" t="s">
        <v>328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9</vt:i4>
      </vt:variant>
    </vt:vector>
  </HeadingPairs>
  <TitlesOfParts>
    <vt:vector size="14" baseType="lpstr">
      <vt:lpstr>Instructions</vt:lpstr>
      <vt:lpstr>Client Accounts</vt:lpstr>
      <vt:lpstr>Clients</vt:lpstr>
      <vt:lpstr>Investigators</vt:lpstr>
      <vt:lpstr>Picklists</vt:lpstr>
      <vt:lpstr>ActivatePortal</vt:lpstr>
      <vt:lpstr>Clients</vt:lpstr>
      <vt:lpstr>CouncilMethod</vt:lpstr>
      <vt:lpstr>CouncilResponse</vt:lpstr>
      <vt:lpstr>Firms</vt:lpstr>
      <vt:lpstr>InstructionStatus</vt:lpstr>
      <vt:lpstr>InstructionType</vt:lpstr>
      <vt:lpstr>Investigators</vt:lpstr>
      <vt:lpstr>YesNo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Pranesh S</cp:lastModifiedBy>
  <dcterms:created xsi:type="dcterms:W3CDTF">2026-04-28T09:32:28Z</dcterms:created>
  <dcterms:modified xsi:type="dcterms:W3CDTF">2026-04-28T09:44:29Z</dcterms:modified>
</cp:coreProperties>
</file>